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e\Downloads\"/>
    </mc:Choice>
  </mc:AlternateContent>
  <xr:revisionPtr revIDLastSave="0" documentId="8_{F8536CC5-FED8-4302-AA1B-3C79F8803066}" xr6:coauthVersionLast="47" xr6:coauthVersionMax="47" xr10:uidLastSave="{00000000-0000-0000-0000-000000000000}"/>
  <bookViews>
    <workbookView xWindow="-120" yWindow="-120" windowWidth="29040" windowHeight="15720" activeTab="1" xr2:uid="{81D6B293-A58D-4505-A6C2-C48FE4B6EC7F}"/>
  </bookViews>
  <sheets>
    <sheet name="Performance Parameters" sheetId="1" r:id="rId1"/>
    <sheet name="Scoring Example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2" l="1"/>
  <c r="F23" i="2"/>
  <c r="G22" i="2"/>
  <c r="H22" i="2" s="1"/>
  <c r="I22" i="2" s="1"/>
  <c r="F22" i="2"/>
  <c r="E22" i="2"/>
  <c r="G21" i="2"/>
  <c r="F21" i="2"/>
  <c r="G18" i="2"/>
  <c r="H18" i="2" s="1"/>
  <c r="I18" i="2" s="1"/>
  <c r="F18" i="2"/>
  <c r="F17" i="2"/>
  <c r="E17" i="2"/>
  <c r="G16" i="2"/>
  <c r="F16" i="2"/>
  <c r="F15" i="2"/>
  <c r="F12" i="2"/>
  <c r="F8" i="2"/>
  <c r="I7" i="2"/>
  <c r="G7" i="2"/>
  <c r="E18" i="2" s="1"/>
  <c r="I6" i="2"/>
  <c r="G17" i="2" s="1"/>
  <c r="H17" i="2" s="1"/>
  <c r="I17" i="2" s="1"/>
  <c r="G6" i="2"/>
  <c r="I5" i="2"/>
  <c r="G5" i="2"/>
  <c r="E16" i="2" s="1"/>
  <c r="H16" i="2" s="1"/>
  <c r="I16" i="2" s="1"/>
  <c r="I4" i="2"/>
  <c r="I8" i="2" s="1"/>
  <c r="G12" i="2" s="1"/>
  <c r="G4" i="2"/>
  <c r="E21" i="2" s="1"/>
  <c r="H21" i="2" l="1"/>
  <c r="I21" i="2" s="1"/>
  <c r="G15" i="2"/>
  <c r="E15" i="2"/>
  <c r="G8" i="2"/>
  <c r="E12" i="2" s="1"/>
  <c r="H12" i="2" s="1"/>
  <c r="I12" i="2" s="1"/>
  <c r="E23" i="2"/>
  <c r="H23" i="2" s="1"/>
  <c r="I23" i="2" s="1"/>
  <c r="H15" i="2" l="1"/>
  <c r="I15" i="2" s="1"/>
</calcChain>
</file>

<file path=xl/sharedStrings.xml><?xml version="1.0" encoding="utf-8"?>
<sst xmlns="http://schemas.openxmlformats.org/spreadsheetml/2006/main" count="133" uniqueCount="66">
  <si>
    <t>SCORE INDICATORS</t>
  </si>
  <si>
    <t>COMPETENCY SKILL LEVEL</t>
  </si>
  <si>
    <t>KEY IMPROVEMENT INDICATORS</t>
  </si>
  <si>
    <t>Pos#</t>
  </si>
  <si>
    <r>
      <t>Score Criteria Name</t>
    </r>
    <r>
      <rPr>
        <b/>
        <sz val="11"/>
        <color rgb="FFFF0000"/>
        <rFont val="Segoe UI"/>
        <family val="2"/>
      </rPr>
      <t>*</t>
    </r>
  </si>
  <si>
    <t>Score Range</t>
  </si>
  <si>
    <t>Score Indicator Description:</t>
  </si>
  <si>
    <r>
      <t>Competency Skill Level Name:</t>
    </r>
    <r>
      <rPr>
        <b/>
        <sz val="11"/>
        <color rgb="FFC9302C"/>
        <rFont val="Segoe UI"/>
        <family val="2"/>
      </rPr>
      <t> *</t>
    </r>
  </si>
  <si>
    <r>
      <t>Enter Competency Check Level Weightage</t>
    </r>
    <r>
      <rPr>
        <b/>
        <sz val="11"/>
        <color rgb="FFFF0000"/>
        <rFont val="Segoe UI"/>
        <family val="2"/>
      </rPr>
      <t>*</t>
    </r>
  </si>
  <si>
    <t>Competency Skill Level Description:</t>
  </si>
  <si>
    <t>S#</t>
  </si>
  <si>
    <t>Improvement Indicators</t>
  </si>
  <si>
    <r>
      <t>Score Indicators Name</t>
    </r>
    <r>
      <rPr>
        <b/>
        <sz val="11"/>
        <color rgb="FFFF0000"/>
        <rFont val="Segoe UI"/>
        <family val="2"/>
      </rPr>
      <t>*</t>
    </r>
  </si>
  <si>
    <r>
      <t>Competency Skill Level Name</t>
    </r>
    <r>
      <rPr>
        <b/>
        <sz val="11"/>
        <color rgb="FFFF0000"/>
        <rFont val="Segoe UI"/>
        <family val="2"/>
      </rPr>
      <t>*</t>
    </r>
  </si>
  <si>
    <t>Key Improvement Indicator Description</t>
  </si>
  <si>
    <t>50 Chrs</t>
  </si>
  <si>
    <t>Min 0</t>
  </si>
  <si>
    <t>Max 100</t>
  </si>
  <si>
    <t>30 Chrs</t>
  </si>
  <si>
    <t>Excellent</t>
  </si>
  <si>
    <t>to</t>
  </si>
  <si>
    <t>xxxx</t>
  </si>
  <si>
    <t>Level of Understanding</t>
  </si>
  <si>
    <t>Need More Clarity</t>
  </si>
  <si>
    <t>Disappointing</t>
  </si>
  <si>
    <t>Good</t>
  </si>
  <si>
    <t>Practical Knowledge</t>
  </si>
  <si>
    <t>More Training Required</t>
  </si>
  <si>
    <t>Need More Improvement</t>
  </si>
  <si>
    <t>Technical Knowledge</t>
  </si>
  <si>
    <t>Improve your skills</t>
  </si>
  <si>
    <t>Little more effort required</t>
  </si>
  <si>
    <t>Can do even better</t>
  </si>
  <si>
    <t>Min 3 &lt;_&gt; add upto 10</t>
  </si>
  <si>
    <t>Keep doing Good</t>
  </si>
  <si>
    <t>Fully qualified on basics</t>
  </si>
  <si>
    <t>Good Managerial Skills</t>
  </si>
  <si>
    <t>Skillfully Qualified</t>
  </si>
  <si>
    <t>Min 3x3 = 9 &lt;_&gt; add upto 5x10 = 50</t>
  </si>
  <si>
    <t>EXAMPLE OF SCORING</t>
  </si>
  <si>
    <t>Ques</t>
  </si>
  <si>
    <t>Subject</t>
  </si>
  <si>
    <t>Topic</t>
  </si>
  <si>
    <t>Check Level</t>
  </si>
  <si>
    <t>Level Weightage</t>
  </si>
  <si>
    <t>Score</t>
  </si>
  <si>
    <t>Adjusted Weighted Max Score</t>
  </si>
  <si>
    <t>Correct = 1 / Incorrect = 0</t>
  </si>
  <si>
    <t>Score Awarded</t>
  </si>
  <si>
    <t>Maths</t>
  </si>
  <si>
    <t>Add</t>
  </si>
  <si>
    <t>Easy</t>
  </si>
  <si>
    <t>= Score x Weightage</t>
  </si>
  <si>
    <t>Subs</t>
  </si>
  <si>
    <t>Sports</t>
  </si>
  <si>
    <t>Cricket</t>
  </si>
  <si>
    <t>Hard</t>
  </si>
  <si>
    <t>Athletics</t>
  </si>
  <si>
    <t>Scoring Analysis</t>
  </si>
  <si>
    <t>100 point scale Overall Score</t>
  </si>
  <si>
    <t>Ass #1</t>
  </si>
  <si>
    <t>Overall Score</t>
  </si>
  <si>
    <t>=Score Awarded x 100 / Adjusted Weighted Max Score</t>
  </si>
  <si>
    <t>Subject/ Topic Level</t>
  </si>
  <si>
    <t>Competency Check Level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</si>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</sst>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33333"/>
      <name val="Segoe UI"/>
      <family val="2"/>
    </font>
    <font>
      <b/>
      <sz val="11"/>
      <color rgb="FFFF0000"/>
      <name val="Segoe UI"/>
      <family val="2"/>
    </font>
    <font>
      <b/>
      <sz val="11"/>
      <color rgb="FFC9302C"/>
      <name val="Segoe UI"/>
      <family val="2"/>
    </font>
    <font>
      <sz val="10"/>
      <color theme="0"/>
      <name val="Segoe U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color rgb="FF0070C0"/>
      <name val="Arial"/>
      <family val="2"/>
    </font>
    <font>
      <i/>
      <sz val="11"/>
      <color rgb="FFC00000"/>
      <name val="Arial"/>
      <family val="2"/>
    </font>
    <font>
      <b/>
      <sz val="11"/>
      <color theme="1"/>
      <name val="Arial Black"/>
      <family val="2"/>
    </font>
    <font>
      <b/>
      <sz val="11"/>
      <color rgb="FF0070C0"/>
      <name val="Arial"/>
      <family val="2"/>
    </font>
    <font>
      <b/>
      <sz val="11"/>
      <color rgb="FF7030A0"/>
      <name val="Arial"/>
      <family val="2"/>
    </font>
    <font>
      <b/>
      <sz val="11"/>
      <color rgb="FF00B0F0"/>
      <name val="Arial Black"/>
      <family val="2"/>
    </font>
    <font>
      <b/>
      <sz val="11"/>
      <color theme="5"/>
      <name val="Arial Black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D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1DA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4" tint="0.39994506668294322"/>
      </right>
      <top style="medium">
        <color indexed="64"/>
      </top>
      <bottom style="thin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indexed="64"/>
      </top>
      <bottom style="thin">
        <color theme="1"/>
      </bottom>
      <diagonal/>
    </border>
    <border>
      <left style="thin">
        <color theme="4" tint="0.39994506668294322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indexed="64"/>
      </right>
      <top/>
      <bottom style="thin">
        <color theme="4" tint="0.39994506668294322"/>
      </bottom>
      <diagonal/>
    </border>
    <border>
      <left style="thin">
        <color indexed="64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indexed="6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theme="4" tint="0.39994506668294322"/>
      </right>
      <top style="thin">
        <color theme="4" tint="0.39994506668294322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indexed="64"/>
      </bottom>
      <diagonal/>
    </border>
    <border>
      <left style="thin">
        <color theme="4" tint="0.39994506668294322"/>
      </left>
      <right style="thin">
        <color indexed="64"/>
      </right>
      <top style="thin">
        <color theme="4" tint="0.39994506668294322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2" fillId="9" borderId="14" xfId="0" applyFont="1" applyFill="1" applyBorder="1" applyAlignment="1">
      <alignment horizontal="left" vertical="center"/>
    </xf>
    <xf numFmtId="0" fontId="0" fillId="9" borderId="14" xfId="0" applyFill="1" applyBorder="1" applyAlignment="1">
      <alignment horizontal="center" vertical="center"/>
    </xf>
    <xf numFmtId="0" fontId="0" fillId="9" borderId="14" xfId="0" applyFill="1" applyBorder="1" applyAlignment="1">
      <alignment vertical="center"/>
    </xf>
    <xf numFmtId="0" fontId="19" fillId="10" borderId="15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0" borderId="0" xfId="0" quotePrefix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5E69-00D2-4FAF-9531-47049DC6F6F4}">
  <dimension ref="A1:X15"/>
  <sheetViews>
    <sheetView showGridLines="0" zoomScaleNormal="100" workbookViewId="0">
      <pane ySplit="3" topLeftCell="A4" activePane="bottomLeft" state="frozen"/>
      <selection activeCell="J8" sqref="J8"/>
      <selection pane="bottomLeft" activeCell="J4" sqref="J4"/>
    </sheetView>
  </sheetViews>
  <sheetFormatPr defaultRowHeight="15" x14ac:dyDescent="0.25"/>
  <cols>
    <col min="1" max="1" width="5.85546875" style="3" customWidth="1"/>
    <col min="2" max="2" width="14.5703125" style="3" customWidth="1"/>
    <col min="3" max="3" width="8.140625" style="3" customWidth="1"/>
    <col min="4" max="4" width="2.7109375" style="3" bestFit="1" customWidth="1"/>
    <col min="5" max="5" width="7.85546875" style="3" customWidth="1"/>
    <col min="6" max="6" width="17" style="3" bestFit="1" customWidth="1"/>
    <col min="7" max="7" width="1.42578125" style="3" customWidth="1"/>
    <col min="8" max="8" width="6.7109375" style="3" customWidth="1"/>
    <col min="9" max="9" width="24.85546875" style="3" customWidth="1"/>
    <col min="10" max="10" width="2.42578125" style="3" customWidth="1"/>
    <col min="11" max="11" width="22.7109375" style="3" customWidth="1"/>
    <col min="12" max="12" width="1.42578125" style="3" customWidth="1"/>
    <col min="13" max="13" width="5.140625" style="3" customWidth="1"/>
    <col min="14" max="14" width="24.140625" style="3" customWidth="1"/>
    <col min="15" max="15" width="19.28515625" style="3" customWidth="1"/>
    <col min="16" max="17" width="28.42578125" style="3" customWidth="1"/>
    <col min="25" max="16384" width="9.140625" style="3"/>
  </cols>
  <sheetData>
    <row r="1" spans="1:24" ht="24.75" customHeight="1" x14ac:dyDescent="0.25">
      <c r="A1" s="1" t="s">
        <v>0</v>
      </c>
      <c r="B1" s="2"/>
      <c r="C1" s="1"/>
      <c r="D1" s="1"/>
      <c r="E1" s="1"/>
      <c r="F1" s="1"/>
      <c r="H1" s="1" t="s">
        <v>1</v>
      </c>
      <c r="I1" s="1"/>
      <c r="J1" s="2"/>
      <c r="K1" s="1"/>
      <c r="M1" s="1" t="s">
        <v>2</v>
      </c>
      <c r="N1" s="2"/>
      <c r="O1" s="2"/>
      <c r="P1" s="1"/>
      <c r="Q1" s="2"/>
    </row>
    <row r="3" spans="1:24" s="8" customFormat="1" ht="63" customHeight="1" x14ac:dyDescent="0.25">
      <c r="A3" s="4" t="s">
        <v>3</v>
      </c>
      <c r="B3" s="4" t="s">
        <v>4</v>
      </c>
      <c r="C3" s="5" t="s">
        <v>5</v>
      </c>
      <c r="D3" s="6"/>
      <c r="E3" s="7"/>
      <c r="F3" s="4" t="s">
        <v>6</v>
      </c>
      <c r="H3" s="4" t="s">
        <v>3</v>
      </c>
      <c r="I3" s="4" t="s">
        <v>7</v>
      </c>
      <c r="J3" s="9" t="s">
        <v>8</v>
      </c>
      <c r="K3" s="4" t="s">
        <v>9</v>
      </c>
      <c r="M3" s="4" t="s">
        <v>10</v>
      </c>
      <c r="N3" s="4" t="s">
        <v>11</v>
      </c>
      <c r="O3" s="10" t="s">
        <v>12</v>
      </c>
      <c r="P3" s="10" t="s">
        <v>13</v>
      </c>
      <c r="Q3" s="4" t="s">
        <v>14</v>
      </c>
      <c r="R3" s="11"/>
      <c r="S3" s="11"/>
      <c r="T3" s="11"/>
      <c r="U3" s="11"/>
      <c r="V3" s="11"/>
      <c r="W3" s="11"/>
      <c r="X3" s="11"/>
    </row>
    <row r="4" spans="1:24" s="13" customFormat="1" ht="28.5" x14ac:dyDescent="0.2">
      <c r="A4" s="12"/>
      <c r="B4" s="12" t="s">
        <v>15</v>
      </c>
      <c r="C4" s="12" t="s">
        <v>16</v>
      </c>
      <c r="D4" s="12"/>
      <c r="E4" s="12" t="s">
        <v>17</v>
      </c>
      <c r="F4" s="12"/>
      <c r="H4" s="12"/>
      <c r="I4" s="12" t="s">
        <v>18</v>
      </c>
      <c r="J4" s="14"/>
      <c r="K4" s="12"/>
      <c r="M4" s="12"/>
      <c r="N4" s="12"/>
      <c r="O4" s="12"/>
      <c r="P4" s="12"/>
      <c r="Q4" s="12"/>
      <c r="R4" s="15"/>
      <c r="S4" s="15"/>
      <c r="T4" s="15"/>
      <c r="U4" s="15"/>
      <c r="V4" s="15"/>
      <c r="W4" s="15"/>
      <c r="X4" s="15"/>
    </row>
    <row r="5" spans="1:24" x14ac:dyDescent="0.25">
      <c r="A5" s="16">
        <v>1</v>
      </c>
      <c r="B5" s="17" t="s">
        <v>19</v>
      </c>
      <c r="C5" s="18">
        <v>81</v>
      </c>
      <c r="D5" s="18" t="s">
        <v>20</v>
      </c>
      <c r="E5" s="18">
        <v>100</v>
      </c>
      <c r="F5" s="19" t="s">
        <v>21</v>
      </c>
      <c r="H5" s="16">
        <v>1</v>
      </c>
      <c r="I5" s="17" t="s">
        <v>22</v>
      </c>
      <c r="J5" s="20">
        <v>0.5</v>
      </c>
      <c r="K5" s="19" t="s">
        <v>21</v>
      </c>
      <c r="M5" s="16">
        <v>1</v>
      </c>
      <c r="N5" s="17" t="s">
        <v>23</v>
      </c>
      <c r="O5" s="21" t="s">
        <v>24</v>
      </c>
      <c r="P5" s="21" t="s">
        <v>22</v>
      </c>
      <c r="Q5" s="22" t="s">
        <v>21</v>
      </c>
    </row>
    <row r="6" spans="1:24" x14ac:dyDescent="0.25">
      <c r="A6" s="16">
        <v>2</v>
      </c>
      <c r="B6" s="17" t="s">
        <v>25</v>
      </c>
      <c r="C6" s="18">
        <v>61</v>
      </c>
      <c r="D6" s="18" t="s">
        <v>20</v>
      </c>
      <c r="E6" s="18">
        <v>80</v>
      </c>
      <c r="F6" s="19" t="s">
        <v>21</v>
      </c>
      <c r="H6" s="16">
        <v>2</v>
      </c>
      <c r="I6" s="17" t="s">
        <v>26</v>
      </c>
      <c r="J6" s="20">
        <v>1.5</v>
      </c>
      <c r="K6" s="19" t="s">
        <v>21</v>
      </c>
      <c r="M6" s="16">
        <v>2</v>
      </c>
      <c r="N6" s="17" t="s">
        <v>27</v>
      </c>
      <c r="O6" s="21" t="s">
        <v>24</v>
      </c>
      <c r="P6" s="21" t="s">
        <v>26</v>
      </c>
      <c r="Q6" s="17" t="s">
        <v>21</v>
      </c>
    </row>
    <row r="7" spans="1:24" ht="28.5" x14ac:dyDescent="0.25">
      <c r="A7" s="16">
        <v>3</v>
      </c>
      <c r="B7" s="17" t="s">
        <v>28</v>
      </c>
      <c r="C7" s="18">
        <v>41</v>
      </c>
      <c r="D7" s="18" t="s">
        <v>20</v>
      </c>
      <c r="E7" s="18">
        <v>60</v>
      </c>
      <c r="F7" s="19" t="s">
        <v>21</v>
      </c>
      <c r="H7" s="16">
        <v>3</v>
      </c>
      <c r="I7" s="17" t="s">
        <v>29</v>
      </c>
      <c r="J7" s="20">
        <v>2.5</v>
      </c>
      <c r="K7" s="19" t="s">
        <v>21</v>
      </c>
      <c r="M7" s="16">
        <v>3</v>
      </c>
      <c r="N7" s="17" t="s">
        <v>30</v>
      </c>
      <c r="O7" s="21" t="s">
        <v>24</v>
      </c>
      <c r="P7" s="21" t="s">
        <v>29</v>
      </c>
      <c r="Q7" s="17" t="s">
        <v>21</v>
      </c>
    </row>
    <row r="8" spans="1:24" ht="28.5" x14ac:dyDescent="0.25">
      <c r="A8" s="16">
        <v>4</v>
      </c>
      <c r="B8" s="17" t="s">
        <v>24</v>
      </c>
      <c r="C8" s="18">
        <v>0</v>
      </c>
      <c r="D8" s="18" t="s">
        <v>20</v>
      </c>
      <c r="E8" s="18">
        <v>40</v>
      </c>
      <c r="F8" s="19" t="s">
        <v>21</v>
      </c>
      <c r="H8" s="16">
        <v>4</v>
      </c>
      <c r="I8" s="17"/>
      <c r="J8" s="23"/>
      <c r="K8" s="24"/>
      <c r="M8" s="16">
        <v>4</v>
      </c>
      <c r="N8" s="17" t="s">
        <v>31</v>
      </c>
      <c r="O8" s="21" t="s">
        <v>25</v>
      </c>
      <c r="P8" s="21" t="s">
        <v>22</v>
      </c>
      <c r="Q8" s="17" t="s">
        <v>21</v>
      </c>
    </row>
    <row r="9" spans="1:24" x14ac:dyDescent="0.25">
      <c r="A9" s="16">
        <v>5</v>
      </c>
      <c r="B9" s="17"/>
      <c r="C9" s="21"/>
      <c r="D9" s="21"/>
      <c r="E9" s="21"/>
      <c r="F9" s="24"/>
      <c r="H9" s="16">
        <v>5</v>
      </c>
      <c r="I9" s="17"/>
      <c r="J9" s="23"/>
      <c r="K9" s="24"/>
      <c r="M9" s="16">
        <v>5</v>
      </c>
      <c r="N9" s="17" t="s">
        <v>32</v>
      </c>
      <c r="O9" s="21" t="s">
        <v>25</v>
      </c>
      <c r="P9" s="21" t="s">
        <v>26</v>
      </c>
      <c r="Q9" s="17" t="s">
        <v>21</v>
      </c>
    </row>
    <row r="10" spans="1:24" x14ac:dyDescent="0.25">
      <c r="A10" s="25" t="s">
        <v>33</v>
      </c>
      <c r="B10" s="17"/>
      <c r="C10" s="21"/>
      <c r="D10" s="21"/>
      <c r="E10" s="21"/>
      <c r="F10" s="24"/>
      <c r="H10" s="16">
        <v>6</v>
      </c>
      <c r="I10" s="17"/>
      <c r="J10" s="23"/>
      <c r="K10" s="24"/>
      <c r="M10" s="16">
        <v>6</v>
      </c>
      <c r="N10" s="17" t="s">
        <v>34</v>
      </c>
      <c r="O10" s="21" t="s">
        <v>25</v>
      </c>
      <c r="P10" s="21" t="s">
        <v>29</v>
      </c>
      <c r="Q10" s="17" t="s">
        <v>21</v>
      </c>
    </row>
    <row r="11" spans="1:24" x14ac:dyDescent="0.25">
      <c r="A11" s="26"/>
      <c r="B11" s="26"/>
      <c r="C11" s="26"/>
      <c r="D11" s="26"/>
      <c r="E11" s="26"/>
      <c r="F11" s="26"/>
      <c r="H11" s="16">
        <v>7</v>
      </c>
      <c r="I11" s="17"/>
      <c r="J11" s="23"/>
      <c r="K11" s="24"/>
      <c r="M11" s="16">
        <v>7</v>
      </c>
      <c r="N11" s="17" t="s">
        <v>35</v>
      </c>
      <c r="O11" s="21" t="s">
        <v>19</v>
      </c>
      <c r="P11" s="21" t="s">
        <v>22</v>
      </c>
      <c r="Q11" s="17" t="s">
        <v>21</v>
      </c>
    </row>
    <row r="12" spans="1:24" x14ac:dyDescent="0.25">
      <c r="A12" s="26"/>
      <c r="B12" s="26"/>
      <c r="C12" s="26"/>
      <c r="D12" s="26"/>
      <c r="E12" s="26"/>
      <c r="F12" s="26"/>
      <c r="H12" s="16">
        <v>8</v>
      </c>
      <c r="I12" s="17"/>
      <c r="J12" s="23"/>
      <c r="K12" s="24"/>
      <c r="M12" s="16">
        <v>8</v>
      </c>
      <c r="N12" s="17" t="s">
        <v>36</v>
      </c>
      <c r="O12" s="21" t="s">
        <v>19</v>
      </c>
      <c r="P12" s="21" t="s">
        <v>26</v>
      </c>
      <c r="Q12" s="17" t="s">
        <v>21</v>
      </c>
    </row>
    <row r="13" spans="1:24" x14ac:dyDescent="0.25">
      <c r="A13" s="26"/>
      <c r="B13" s="26"/>
      <c r="C13" s="26"/>
      <c r="D13" s="26"/>
      <c r="E13" s="26"/>
      <c r="F13" s="26"/>
      <c r="H13" s="16">
        <v>9</v>
      </c>
      <c r="I13" s="17"/>
      <c r="J13" s="23"/>
      <c r="K13" s="24"/>
      <c r="M13" s="16">
        <v>9</v>
      </c>
      <c r="N13" s="17" t="s">
        <v>37</v>
      </c>
      <c r="O13" s="21" t="s">
        <v>19</v>
      </c>
      <c r="P13" s="21" t="s">
        <v>29</v>
      </c>
      <c r="Q13" s="17" t="s">
        <v>21</v>
      </c>
    </row>
    <row r="14" spans="1:24" x14ac:dyDescent="0.25">
      <c r="A14" s="26"/>
      <c r="B14" s="26"/>
      <c r="C14" s="26"/>
      <c r="D14" s="26"/>
      <c r="E14" s="26"/>
      <c r="F14" s="26"/>
      <c r="H14" s="16">
        <v>10</v>
      </c>
      <c r="I14" s="17"/>
      <c r="J14" s="23"/>
      <c r="K14" s="24"/>
      <c r="M14" s="17"/>
      <c r="N14" s="17"/>
      <c r="O14" s="24"/>
      <c r="P14" s="24"/>
      <c r="Q14" s="17"/>
    </row>
    <row r="15" spans="1:24" x14ac:dyDescent="0.25">
      <c r="A15" s="26"/>
      <c r="C15" s="26"/>
      <c r="D15" s="26"/>
      <c r="E15" s="26"/>
      <c r="F15" s="26"/>
      <c r="H15" s="25" t="s">
        <v>33</v>
      </c>
      <c r="I15" s="17"/>
      <c r="J15" s="23"/>
      <c r="K15" s="24"/>
      <c r="M15" s="25" t="s">
        <v>38</v>
      </c>
      <c r="N15" s="17"/>
      <c r="O15" s="24"/>
      <c r="P15" s="24"/>
      <c r="Q15" s="17"/>
    </row>
  </sheetData>
  <mergeCells count="1"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2227-8A32-46AE-AD4A-133AED1EDF01}">
  <dimension ref="A1:AA27"/>
  <sheetViews>
    <sheetView showGridLines="0" tabSelected="1" zoomScale="140" zoomScaleNormal="140" workbookViewId="0">
      <selection activeCell="B3" sqref="B3"/>
    </sheetView>
  </sheetViews>
  <sheetFormatPr defaultRowHeight="15" x14ac:dyDescent="0.25"/>
  <cols>
    <col min="1" max="2" width="9.140625" style="27"/>
    <col min="3" max="3" width="12.28515625" style="27" customWidth="1"/>
    <col min="4" max="4" width="8.5703125" style="27" customWidth="1"/>
    <col min="5" max="5" width="11.85546875" style="27" customWidth="1"/>
    <col min="6" max="6" width="14" style="27" customWidth="1"/>
    <col min="7" max="7" width="11.7109375" style="27" customWidth="1"/>
    <col min="8" max="8" width="11.42578125" style="27" customWidth="1"/>
    <col min="9" max="9" width="16.5703125" style="27" customWidth="1"/>
    <col min="10" max="16384" width="9.140625" style="27"/>
  </cols>
  <sheetData>
    <row r="1" spans="1:27" s="3" customFormat="1" ht="18" customHeight="1" x14ac:dyDescent="0.25">
      <c r="A1" s="1" t="s">
        <v>39</v>
      </c>
      <c r="B1" s="2"/>
      <c r="C1" s="1"/>
      <c r="D1" s="1"/>
      <c r="E1" s="1"/>
      <c r="F1" s="1"/>
      <c r="G1" s="1"/>
      <c r="H1" s="1"/>
      <c r="I1" s="1"/>
      <c r="S1" s="27"/>
      <c r="T1" s="27"/>
      <c r="U1" s="27"/>
      <c r="V1" s="27"/>
      <c r="W1" s="27"/>
      <c r="X1" s="27"/>
      <c r="Y1" s="27"/>
    </row>
    <row r="2" spans="1:27" ht="3.75" customHeight="1" x14ac:dyDescent="0.25">
      <c r="A2" s="28"/>
      <c r="B2" s="28"/>
      <c r="C2" s="28"/>
      <c r="D2" s="28"/>
      <c r="E2" s="29"/>
      <c r="F2" s="28"/>
      <c r="G2" s="28"/>
      <c r="H2" s="28"/>
      <c r="I2" s="28"/>
      <c r="J2" s="30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7" s="35" customFormat="1" ht="60.75" thickBot="1" x14ac:dyDescent="0.3">
      <c r="A3" s="31" t="s">
        <v>40</v>
      </c>
      <c r="B3" s="32" t="s">
        <v>41</v>
      </c>
      <c r="C3" s="32" t="s">
        <v>42</v>
      </c>
      <c r="D3" s="32" t="s">
        <v>43</v>
      </c>
      <c r="E3" s="32" t="s">
        <v>44</v>
      </c>
      <c r="F3" s="32" t="s">
        <v>45</v>
      </c>
      <c r="G3" s="32" t="s">
        <v>46</v>
      </c>
      <c r="H3" s="33" t="s">
        <v>47</v>
      </c>
      <c r="I3" s="34" t="s">
        <v>48</v>
      </c>
      <c r="L3" s="36"/>
      <c r="M3" s="36"/>
      <c r="N3" s="36"/>
      <c r="O3" s="36"/>
      <c r="P3" s="36"/>
      <c r="Q3" s="36"/>
      <c r="R3" s="36"/>
      <c r="S3" s="36"/>
      <c r="T3" s="36"/>
      <c r="U3" s="37"/>
      <c r="V3" s="38"/>
      <c r="W3" s="38"/>
      <c r="X3" s="38"/>
      <c r="Y3" s="38"/>
      <c r="Z3" s="38"/>
      <c r="AA3" s="38"/>
    </row>
    <row r="4" spans="1:27" s="3" customFormat="1" ht="16.5" customHeight="1" thickTop="1" x14ac:dyDescent="0.25">
      <c r="A4" s="39">
        <v>1</v>
      </c>
      <c r="B4" s="40" t="s">
        <v>49</v>
      </c>
      <c r="C4" s="40" t="s">
        <v>50</v>
      </c>
      <c r="D4" s="40" t="s">
        <v>51</v>
      </c>
      <c r="E4" s="40">
        <v>0.5</v>
      </c>
      <c r="F4" s="40">
        <v>1</v>
      </c>
      <c r="G4" s="41">
        <f>F4*E4</f>
        <v>0.5</v>
      </c>
      <c r="H4" s="42">
        <v>1</v>
      </c>
      <c r="I4" s="43">
        <f>F4*E4*H4</f>
        <v>0.5</v>
      </c>
      <c r="K4" s="44" t="s">
        <v>52</v>
      </c>
      <c r="L4" s="8"/>
      <c r="M4" s="8"/>
      <c r="N4" s="8"/>
      <c r="O4" s="8"/>
      <c r="P4" s="8"/>
      <c r="Q4" s="8"/>
      <c r="R4" s="8"/>
      <c r="S4" s="8"/>
      <c r="T4" s="8"/>
      <c r="U4" s="28"/>
      <c r="V4" s="27"/>
      <c r="W4" s="27"/>
      <c r="X4" s="27"/>
      <c r="Y4" s="27"/>
      <c r="Z4" s="27"/>
      <c r="AA4" s="27"/>
    </row>
    <row r="5" spans="1:27" s="3" customFormat="1" ht="16.5" customHeight="1" x14ac:dyDescent="0.25">
      <c r="A5" s="45">
        <v>2</v>
      </c>
      <c r="B5" s="46" t="s">
        <v>49</v>
      </c>
      <c r="C5" s="46" t="s">
        <v>53</v>
      </c>
      <c r="D5" s="46" t="s">
        <v>51</v>
      </c>
      <c r="E5" s="46">
        <v>0.5</v>
      </c>
      <c r="F5" s="46">
        <v>3</v>
      </c>
      <c r="G5" s="47">
        <f t="shared" ref="G5:G7" si="0">F5*E5</f>
        <v>1.5</v>
      </c>
      <c r="H5" s="48">
        <v>0</v>
      </c>
      <c r="I5" s="49">
        <f t="shared" ref="I5:I7" si="1">F5*E5*H5</f>
        <v>0</v>
      </c>
      <c r="L5" s="8"/>
      <c r="M5" s="8"/>
      <c r="N5" s="8"/>
      <c r="O5" s="8"/>
      <c r="P5" s="8"/>
      <c r="Q5" s="8"/>
      <c r="R5" s="8"/>
      <c r="S5" s="8"/>
      <c r="T5" s="8"/>
      <c r="U5" s="28"/>
      <c r="V5" s="27"/>
      <c r="W5" s="27"/>
      <c r="X5" s="27"/>
      <c r="Y5" s="27"/>
      <c r="Z5" s="27"/>
      <c r="AA5" s="27"/>
    </row>
    <row r="6" spans="1:27" s="3" customFormat="1" ht="16.5" customHeight="1" x14ac:dyDescent="0.25">
      <c r="A6" s="45">
        <v>3</v>
      </c>
      <c r="B6" s="46" t="s">
        <v>54</v>
      </c>
      <c r="C6" s="46" t="s">
        <v>55</v>
      </c>
      <c r="D6" s="46" t="s">
        <v>56</v>
      </c>
      <c r="E6" s="46">
        <v>2.5</v>
      </c>
      <c r="F6" s="46">
        <v>3</v>
      </c>
      <c r="G6" s="47">
        <f t="shared" si="0"/>
        <v>7.5</v>
      </c>
      <c r="H6" s="48">
        <v>1</v>
      </c>
      <c r="I6" s="49">
        <f t="shared" si="1"/>
        <v>7.5</v>
      </c>
      <c r="L6" s="8"/>
      <c r="M6" s="8"/>
      <c r="N6" s="8"/>
      <c r="O6" s="8"/>
      <c r="P6" s="8"/>
      <c r="Q6" s="8"/>
      <c r="R6" s="8"/>
      <c r="S6" s="8"/>
      <c r="T6" s="8"/>
      <c r="U6" s="28"/>
      <c r="V6" s="27"/>
      <c r="W6" s="27"/>
      <c r="X6" s="27"/>
      <c r="Y6" s="27"/>
      <c r="Z6" s="27"/>
      <c r="AA6" s="27"/>
    </row>
    <row r="7" spans="1:27" s="3" customFormat="1" ht="16.5" customHeight="1" x14ac:dyDescent="0.25">
      <c r="A7" s="45">
        <v>4</v>
      </c>
      <c r="B7" s="46" t="s">
        <v>54</v>
      </c>
      <c r="C7" s="46" t="s">
        <v>57</v>
      </c>
      <c r="D7" s="46" t="s">
        <v>56</v>
      </c>
      <c r="E7" s="46">
        <v>2.5</v>
      </c>
      <c r="F7" s="46">
        <v>8</v>
      </c>
      <c r="G7" s="47">
        <f t="shared" si="0"/>
        <v>20</v>
      </c>
      <c r="H7" s="48">
        <v>0</v>
      </c>
      <c r="I7" s="49">
        <f t="shared" si="1"/>
        <v>0</v>
      </c>
      <c r="L7" s="8"/>
      <c r="M7" s="8"/>
      <c r="N7" s="8"/>
      <c r="O7" s="8"/>
      <c r="P7" s="8"/>
      <c r="Q7" s="8"/>
      <c r="R7" s="8"/>
      <c r="S7" s="8"/>
      <c r="T7" s="8"/>
      <c r="U7" s="28"/>
      <c r="V7" s="27"/>
      <c r="W7" s="27"/>
      <c r="X7" s="27"/>
      <c r="Y7" s="27"/>
      <c r="Z7" s="27"/>
      <c r="AA7" s="27"/>
    </row>
    <row r="8" spans="1:27" ht="18.75" customHeight="1" thickBot="1" x14ac:dyDescent="0.3">
      <c r="A8" s="28"/>
      <c r="B8" s="28"/>
      <c r="C8" s="28"/>
      <c r="D8" s="28"/>
      <c r="E8" s="28"/>
      <c r="F8" s="50">
        <f>SUM(F4:F7)</f>
        <v>15</v>
      </c>
      <c r="G8" s="51">
        <f>SUM(G4:G7)</f>
        <v>29.5</v>
      </c>
      <c r="H8" s="28"/>
      <c r="I8" s="52">
        <f>SUM(I4:I7)</f>
        <v>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7" ht="7.5" customHeight="1" thickBo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1:27" ht="15.75" thickBot="1" x14ac:dyDescent="0.3">
      <c r="A10" s="28"/>
      <c r="B10" s="53"/>
      <c r="C10" s="54" t="s">
        <v>58</v>
      </c>
      <c r="D10" s="55"/>
      <c r="E10" s="56"/>
      <c r="F10" s="55"/>
      <c r="G10" s="55"/>
      <c r="H10" s="56"/>
      <c r="I10" s="57" t="s">
        <v>0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27" ht="19.5" thickBot="1" x14ac:dyDescent="0.3">
      <c r="A11" s="28"/>
      <c r="B11" s="58"/>
      <c r="C11" s="59" t="s">
        <v>59</v>
      </c>
      <c r="D11" s="60"/>
      <c r="E11" s="60"/>
      <c r="F11" s="60"/>
      <c r="G11" s="60"/>
      <c r="H11" s="61"/>
      <c r="I11" s="62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7" ht="18.75" x14ac:dyDescent="0.25">
      <c r="A12" s="28"/>
      <c r="B12" s="63" t="s">
        <v>60</v>
      </c>
      <c r="C12" s="64" t="s">
        <v>61</v>
      </c>
      <c r="D12" s="64"/>
      <c r="E12" s="64">
        <f>+G8</f>
        <v>29.5</v>
      </c>
      <c r="F12" s="64" t="str">
        <f>COUNTIFS($H$3:$H$7,1)&amp;" / "&amp;COUNTIFS($H$3:$H$7,0)</f>
        <v>2 / 2</v>
      </c>
      <c r="G12" s="64">
        <f>+I8</f>
        <v>8</v>
      </c>
      <c r="H12" s="65">
        <f>ROUND(G12/E12*100,0)</f>
        <v>27</v>
      </c>
      <c r="I12" s="66" t="str">
        <f>+IF(AND(H12&gt;='Performance Parameters'!$C$5,H12&lt;='Performance Parameters'!$E$5),'Performance Parameters'!$B$5,IF(AND(H12&gt;='Performance Parameters'!$C$6,H12&lt;='Performance Parameters'!$E$6),'Performance Parameters'!$B$6,IF(AND(H12&gt;='Performance Parameters'!$C$7,H12&lt;='Performance Parameters'!$E$7),'Performance Parameters'!$B$7,IF(AND(H12&gt;='Performance Parameters'!$C$8,H12&lt;='Performance Parameters'!$E$8),'Performance Parameters'!$B$8,"NA"))))</f>
        <v>Disappointing</v>
      </c>
      <c r="J12" s="28"/>
      <c r="K12" s="67" t="s">
        <v>62</v>
      </c>
      <c r="L12" s="28"/>
      <c r="M12" s="28"/>
      <c r="N12" s="28"/>
      <c r="O12" s="28"/>
      <c r="P12" s="28"/>
      <c r="Q12" s="28"/>
      <c r="R12" s="28"/>
      <c r="S12" s="28"/>
    </row>
    <row r="13" spans="1:27" ht="6.75" customHeight="1" thickBot="1" x14ac:dyDescent="0.3">
      <c r="A13" s="28"/>
      <c r="B13" s="28"/>
      <c r="C13" s="29"/>
      <c r="D13" s="28"/>
      <c r="E13" s="28"/>
      <c r="F13" s="28"/>
      <c r="G13" s="28"/>
      <c r="H13" s="30"/>
      <c r="I13" s="37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27" ht="19.5" thickBot="1" x14ac:dyDescent="0.3">
      <c r="A14" s="28"/>
      <c r="B14" s="58"/>
      <c r="C14" s="59" t="s">
        <v>63</v>
      </c>
      <c r="D14" s="60"/>
      <c r="E14" s="60"/>
      <c r="F14" s="60"/>
      <c r="G14" s="60"/>
      <c r="H14" s="61"/>
      <c r="I14" s="6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27" ht="18.75" x14ac:dyDescent="0.25">
      <c r="A15" s="28"/>
      <c r="B15" s="69" t="s">
        <v>60</v>
      </c>
      <c r="C15" s="70" t="s">
        <v>49</v>
      </c>
      <c r="D15" s="70" t="s">
        <v>50</v>
      </c>
      <c r="E15" s="70">
        <f>SUMIFS($G$3:$G$7,$B$3:$B$7,C15,$C$3:$C$7,D15)</f>
        <v>0.5</v>
      </c>
      <c r="F15" s="70" t="str">
        <f>COUNTIFS($H$3:$H$7,1,$B$3:$B$7,C15,$C$3:$C$7,D15)&amp;" / "&amp;COUNTIFS($H$3:$H$7,0,$B$3:$B$7,C15,$C$3:$C$7,D15)</f>
        <v>1 / 0</v>
      </c>
      <c r="G15" s="70">
        <f>SUMIFS($I$3:$I$7,$B$3:$B$7,C15,$C$3:$C$7,D15)</f>
        <v>0.5</v>
      </c>
      <c r="H15" s="71">
        <f>ROUND(G15/E15*100,0)</f>
        <v>100</v>
      </c>
      <c r="I15" s="72" t="str">
        <f>+IF(AND(H15&gt;='Performance Parameters'!$C$5,H15&lt;='Performance Parameters'!$E$5),'Performance Parameters'!$B$5,IF(AND(H15&gt;='Performance Parameters'!$C$6,H15&lt;='Performance Parameters'!$E$6),'Performance Parameters'!$B$6,IF(AND(H15&gt;='Performance Parameters'!$C$7,H15&lt;='Performance Parameters'!$E$7),'Performance Parameters'!$B$7,IF(AND(H15&gt;='Performance Parameters'!$C$8,H15&lt;='Performance Parameters'!$E$8),'Performance Parameters'!$B$8,"NA"))))</f>
        <v>Excellent</v>
      </c>
      <c r="J15" s="28"/>
      <c r="K15" s="67" t="s">
        <v>62</v>
      </c>
      <c r="L15" s="28"/>
      <c r="M15" s="28"/>
      <c r="N15" s="28"/>
      <c r="O15" s="28"/>
      <c r="P15" s="28"/>
      <c r="Q15" s="28"/>
      <c r="R15" s="28"/>
      <c r="S15" s="28"/>
    </row>
    <row r="16" spans="1:27" ht="18.75" x14ac:dyDescent="0.25">
      <c r="A16" s="28"/>
      <c r="B16" s="73" t="s">
        <v>60</v>
      </c>
      <c r="C16" s="74" t="s">
        <v>49</v>
      </c>
      <c r="D16" s="74" t="s">
        <v>53</v>
      </c>
      <c r="E16" s="74">
        <f>SUMIFS($G$3:$G$7,$B$3:$B$7,C16,$C$3:$C$7,D16)</f>
        <v>1.5</v>
      </c>
      <c r="F16" s="74" t="str">
        <f>COUNTIFS($H$3:$H$7,1,$B$3:$B$7,C16,$C$3:$C$7,D16)&amp;" / "&amp;COUNTIFS($H$3:$H$7,0,$B$3:$B$7,C16,$C$3:$C$7,D16)</f>
        <v>0 / 1</v>
      </c>
      <c r="G16" s="74">
        <f>SUMIFS($I$3:$I$7,$B$3:$B$7,C16,$C$3:$C$7,D16)</f>
        <v>0</v>
      </c>
      <c r="H16" s="75">
        <f>ROUND(G16/E16*100,0)</f>
        <v>0</v>
      </c>
      <c r="I16" s="76" t="str">
        <f>+IF(AND(H16&gt;='Performance Parameters'!$C$5,H16&lt;='Performance Parameters'!$E$5),'Performance Parameters'!$B$5,IF(AND(H16&gt;='Performance Parameters'!$C$6,H16&lt;='Performance Parameters'!$E$6),'Performance Parameters'!$B$6,IF(AND(H16&gt;='Performance Parameters'!$C$7,H16&lt;='Performance Parameters'!$E$7),'Performance Parameters'!$B$7,IF(AND(H16&gt;='Performance Parameters'!$C$8,H16&lt;='Performance Parameters'!$E$8),'Performance Parameters'!$B$8,"NA"))))</f>
        <v>Disappointing</v>
      </c>
      <c r="J16" s="28"/>
      <c r="K16" s="67" t="s">
        <v>62</v>
      </c>
      <c r="L16" s="28"/>
      <c r="M16" s="28"/>
      <c r="N16" s="28"/>
      <c r="O16" s="28"/>
      <c r="P16" s="28"/>
      <c r="Q16" s="28"/>
      <c r="R16" s="28"/>
      <c r="S16" s="28"/>
    </row>
    <row r="17" spans="1:19" ht="25.5" customHeight="1" x14ac:dyDescent="0.25">
      <c r="A17" s="28"/>
      <c r="B17" s="73" t="s">
        <v>60</v>
      </c>
      <c r="C17" s="74" t="s">
        <v>54</v>
      </c>
      <c r="D17" s="74" t="s">
        <v>55</v>
      </c>
      <c r="E17" s="74">
        <f>SUMIFS($G$3:$G$7,$B$3:$B$7,C17,$C$3:$C$7,D17)</f>
        <v>7.5</v>
      </c>
      <c r="F17" s="74" t="str">
        <f>COUNTIFS($H$3:$H$7,1,$B$3:$B$7,C17,$C$3:$C$7,D17)&amp;" / "&amp;COUNTIFS($H$3:$H$7,0,$B$3:$B$7,C17,$C$3:$C$7,D17)</f>
        <v>1 / 0</v>
      </c>
      <c r="G17" s="74">
        <f>SUMIFS($I$3:$I$7,$B$3:$B$7,C17,$C$3:$C$7,D17)</f>
        <v>7.5</v>
      </c>
      <c r="H17" s="75">
        <f t="shared" ref="H17:H18" si="2">ROUND(G17/E17*100,0)</f>
        <v>100</v>
      </c>
      <c r="I17" s="76" t="str">
        <f>+IF(AND(H17&gt;='Performance Parameters'!$C$5,H17&lt;='Performance Parameters'!$E$5),'Performance Parameters'!$B$5,IF(AND(H17&gt;='Performance Parameters'!$C$6,H17&lt;='Performance Parameters'!$E$6),'Performance Parameters'!$B$6,IF(AND(H17&gt;='Performance Parameters'!$C$7,H17&lt;='Performance Parameters'!$E$7),'Performance Parameters'!$B$7,IF(AND(H17&gt;='Performance Parameters'!$C$8,H17&lt;='Performance Parameters'!$E$8),'Performance Parameters'!$B$8,"NA"))))</f>
        <v>Excellent</v>
      </c>
      <c r="J17" s="28"/>
      <c r="K17" s="67" t="s">
        <v>62</v>
      </c>
      <c r="L17" s="28"/>
      <c r="M17" s="28"/>
      <c r="N17" s="28"/>
      <c r="O17" s="28"/>
      <c r="P17" s="28"/>
      <c r="Q17" s="28"/>
      <c r="R17" s="28"/>
      <c r="S17" s="28"/>
    </row>
    <row r="18" spans="1:19" ht="18.75" x14ac:dyDescent="0.25">
      <c r="A18" s="28"/>
      <c r="B18" s="73" t="s">
        <v>60</v>
      </c>
      <c r="C18" s="74" t="s">
        <v>54</v>
      </c>
      <c r="D18" s="74" t="s">
        <v>57</v>
      </c>
      <c r="E18" s="74">
        <f>SUMIFS($G$3:$G$7,$B$3:$B$7,C18,$C$3:$C$7,D18)</f>
        <v>20</v>
      </c>
      <c r="F18" s="74" t="str">
        <f>COUNTIFS($H$3:$H$7,1,$B$3:$B$7,C18,$C$3:$C$7,D18)&amp;" / "&amp;COUNTIFS($H$3:$H$7,0,$B$3:$B$7,C18,$C$3:$C$7,D18)</f>
        <v>0 / 1</v>
      </c>
      <c r="G18" s="74">
        <f>SUMIFS($I$3:$I$7,$B$3:$B$7,C18,$C$3:$C$7,D18)</f>
        <v>0</v>
      </c>
      <c r="H18" s="75">
        <f t="shared" si="2"/>
        <v>0</v>
      </c>
      <c r="I18" s="76" t="str">
        <f>+IF(AND(H18&gt;='Performance Parameters'!$C$5,H18&lt;='Performance Parameters'!$E$5),'Performance Parameters'!$B$5,IF(AND(H18&gt;='Performance Parameters'!$C$6,H18&lt;='Performance Parameters'!$E$6),'Performance Parameters'!$B$6,IF(AND(H18&gt;='Performance Parameters'!$C$7,H18&lt;='Performance Parameters'!$E$7),'Performance Parameters'!$B$7,IF(AND(H18&gt;='Performance Parameters'!$C$8,H18&lt;='Performance Parameters'!$E$8),'Performance Parameters'!$B$8,"NA"))))</f>
        <v>Disappointing</v>
      </c>
      <c r="J18" s="28"/>
      <c r="K18" s="67" t="s">
        <v>62</v>
      </c>
      <c r="L18" s="28"/>
      <c r="M18" s="28"/>
      <c r="N18" s="28"/>
      <c r="O18" s="28"/>
      <c r="P18" s="28"/>
      <c r="Q18" s="28"/>
      <c r="R18" s="28"/>
      <c r="S18" s="28"/>
    </row>
    <row r="19" spans="1:19" ht="6.75" customHeight="1" thickBot="1" x14ac:dyDescent="0.3">
      <c r="A19" s="28"/>
      <c r="B19" s="28"/>
      <c r="C19" s="29"/>
      <c r="D19" s="28"/>
      <c r="E19" s="28"/>
      <c r="F19" s="28"/>
      <c r="G19" s="28"/>
      <c r="H19" s="30"/>
      <c r="I19" s="37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ht="19.5" thickBot="1" x14ac:dyDescent="0.3">
      <c r="A20" s="28"/>
      <c r="B20" s="58"/>
      <c r="C20" s="59" t="s">
        <v>64</v>
      </c>
      <c r="D20" s="60"/>
      <c r="E20" s="60"/>
      <c r="F20" s="60"/>
      <c r="G20" s="60"/>
      <c r="H20" s="61"/>
      <c r="I20" s="6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ht="18.75" x14ac:dyDescent="0.25">
      <c r="A21" s="28"/>
      <c r="B21" s="69" t="s">
        <v>60</v>
      </c>
      <c r="C21" s="70" t="s">
        <v>51</v>
      </c>
      <c r="D21" s="70"/>
      <c r="E21" s="70">
        <f>SUMIF($D$3:$D$7,C21,$G$3:$G$7)</f>
        <v>2</v>
      </c>
      <c r="F21" s="70" t="str">
        <f>COUNTIFS($H$3:$H$7,1,$D$3:$D$7,C21)&amp;" / "&amp;COUNTIFS($H$3:$H$7,0,$D$3:$D$7,C21)</f>
        <v>1 / 1</v>
      </c>
      <c r="G21" s="70">
        <f>SUMIF($D$3:$D$7,C21,$I$3:$I$7)</f>
        <v>0.5</v>
      </c>
      <c r="H21" s="71">
        <f>ROUND(G21/E21*100,0)</f>
        <v>25</v>
      </c>
      <c r="I21" s="72" t="str">
        <f>+IF(AND(H21&gt;='Performance Parameters'!$C$5,H21&lt;='Performance Parameters'!$E$5),'Performance Parameters'!$B$5,IF(AND(H21&gt;='Performance Parameters'!$C$6,H21&lt;='Performance Parameters'!$E$6),'Performance Parameters'!$B$6,IF(AND(H21&gt;='Performance Parameters'!$C$7,H21&lt;='Performance Parameters'!$E$7),'Performance Parameters'!$B$7,IF(AND(H21&gt;='Performance Parameters'!$C$8,H21&lt;='Performance Parameters'!$E$8),'Performance Parameters'!$B$8,"NA"))))</f>
        <v>Disappointing</v>
      </c>
      <c r="J21" s="28"/>
      <c r="K21" s="67" t="s">
        <v>62</v>
      </c>
      <c r="L21" s="28"/>
      <c r="M21" s="28"/>
      <c r="N21" s="28"/>
      <c r="O21" s="28"/>
      <c r="P21" s="28"/>
      <c r="Q21" s="28"/>
      <c r="R21" s="28"/>
      <c r="S21" s="28"/>
    </row>
    <row r="22" spans="1:19" ht="25.5" customHeight="1" x14ac:dyDescent="0.25">
      <c r="A22" s="28"/>
      <c r="B22" s="73" t="s">
        <v>60</v>
      </c>
      <c r="C22" s="74" t="s">
        <v>65</v>
      </c>
      <c r="D22" s="74"/>
      <c r="E22" s="74">
        <f>SUMIF($D$3:$D$7,C22,$G$3:$G$7)</f>
        <v>0</v>
      </c>
      <c r="F22" s="74" t="str">
        <f>COUNTIFS($H$3:$H$7,1,$D$3:$D$7,C22)&amp;" / "&amp;COUNTIFS($H$3:$H$7,0,$D$3:$D$7,C22)</f>
        <v>0 / 0</v>
      </c>
      <c r="G22" s="74">
        <f>SUMIF($D$3:$D$7,C22,$I$3:$I$7)</f>
        <v>0</v>
      </c>
      <c r="H22" s="75">
        <f>IFERROR(ROUND(G22/E22*100,0),0)</f>
        <v>0</v>
      </c>
      <c r="I22" s="76" t="str">
        <f>+IF(AND(H22&gt;='Performance Parameters'!$C$5,H22&lt;='Performance Parameters'!$E$5),'Performance Parameters'!$B$5,IF(AND(H22&gt;='Performance Parameters'!$C$6,H22&lt;='Performance Parameters'!$E$6),'Performance Parameters'!$B$6,IF(AND(H22&gt;='Performance Parameters'!$C$7,H22&lt;='Performance Parameters'!$E$7),'Performance Parameters'!$B$7,IF(AND(H22&gt;='Performance Parameters'!$C$8,H22&lt;='Performance Parameters'!$E$8),'Performance Parameters'!$B$8,"NA"))))</f>
        <v>Disappointing</v>
      </c>
      <c r="J22" s="28"/>
      <c r="K22" s="67" t="s">
        <v>62</v>
      </c>
      <c r="L22" s="28"/>
      <c r="M22" s="28"/>
      <c r="N22" s="28"/>
      <c r="O22" s="28"/>
      <c r="P22" s="28"/>
      <c r="Q22" s="28"/>
      <c r="R22" s="28"/>
      <c r="S22" s="28"/>
    </row>
    <row r="23" spans="1:19" ht="18.75" x14ac:dyDescent="0.25">
      <c r="A23" s="28"/>
      <c r="B23" s="77" t="s">
        <v>60</v>
      </c>
      <c r="C23" s="78" t="s">
        <v>56</v>
      </c>
      <c r="D23" s="78"/>
      <c r="E23" s="78">
        <f>SUMIF($D$3:$D$7,C23,$G$3:$G$7)</f>
        <v>27.5</v>
      </c>
      <c r="F23" s="78" t="str">
        <f>COUNTIFS($H$3:$H$7,1,$D$3:$D$7,C23)&amp;" / "&amp;COUNTIFS($H$3:$H$7,0,$D$3:$D$7,C23)</f>
        <v>1 / 1</v>
      </c>
      <c r="G23" s="78">
        <f>SUMIF($D$3:$D$7,C23,$I$3:$I$7)</f>
        <v>7.5</v>
      </c>
      <c r="H23" s="79">
        <f t="shared" ref="H23:H24" si="3">ROUND(G23/E23*100,0)</f>
        <v>27</v>
      </c>
      <c r="I23" s="80" t="str">
        <f>+IF(AND(H23&gt;='Performance Parameters'!$C$5,H23&lt;='Performance Parameters'!$E$5),'Performance Parameters'!$B$5,IF(AND(H23&gt;='Performance Parameters'!$C$6,H23&lt;='Performance Parameters'!$E$6),'Performance Parameters'!$B$6,IF(AND(H23&gt;='Performance Parameters'!$C$7,H23&lt;='Performance Parameters'!$E$7),'Performance Parameters'!$B$7,IF(AND(H23&gt;='Performance Parameters'!$C$8,H23&lt;='Performance Parameters'!$E$8),'Performance Parameters'!$B$8,"NA"))))</f>
        <v>Disappointing</v>
      </c>
      <c r="J23" s="28"/>
      <c r="K23" s="67" t="s">
        <v>62</v>
      </c>
      <c r="L23" s="28"/>
      <c r="M23" s="28"/>
      <c r="N23" s="28"/>
      <c r="O23" s="28"/>
      <c r="P23" s="28"/>
      <c r="Q23" s="28"/>
      <c r="R23" s="28"/>
      <c r="S23" s="28"/>
    </row>
    <row r="24" spans="1:19" ht="6.75" customHeight="1" x14ac:dyDescent="0.25">
      <c r="A24" s="28"/>
      <c r="B24" s="28"/>
      <c r="C24" s="29"/>
      <c r="D24" s="28"/>
      <c r="E24" s="28"/>
      <c r="F24" s="28"/>
      <c r="G24" s="28"/>
      <c r="H24" s="30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Parameters</vt:lpstr>
      <vt:lpstr>Scoring Example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Jasmeet Singh</dc:creator>
  <cp:lastModifiedBy>Jasmeet Singh</cp:lastModifiedBy>
  <dcterms:created xsi:type="dcterms:W3CDTF">2025-02-27T13:06:48Z</dcterms:created>
  <dcterms:modified xsi:type="dcterms:W3CDTF">2025-02-27T13:07:27Z</dcterms:modified>
</cp:coreProperties>
</file>