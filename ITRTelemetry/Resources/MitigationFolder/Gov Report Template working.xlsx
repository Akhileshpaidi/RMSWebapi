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thicalMinds\App Development\GRC Solution\RMS Application Design\"/>
    </mc:Choice>
  </mc:AlternateContent>
  <xr:revisionPtr revIDLastSave="0" documentId="13_ncr:1_{0EAEF17F-E867-4148-8920-F24298B349C7}" xr6:coauthVersionLast="47" xr6:coauthVersionMax="47" xr10:uidLastSave="{00000000-0000-0000-0000-000000000000}"/>
  <bookViews>
    <workbookView xWindow="28680" yWindow="4080" windowWidth="19440" windowHeight="12240" xr2:uid="{E70DE0CB-6962-4A4A-BE65-81D62D808CA0}"/>
  </bookViews>
  <sheets>
    <sheet name="Report Temp (with Result)" sheetId="1" r:id="rId1"/>
    <sheet name="Report Temp (Perf Indicator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6" i="2" l="1"/>
  <c r="R35" i="2"/>
  <c r="R34" i="2"/>
  <c r="R33" i="2"/>
  <c r="R32" i="2"/>
  <c r="R31" i="2"/>
  <c r="R30" i="2"/>
  <c r="Z25" i="2"/>
  <c r="Y25" i="2"/>
  <c r="V25" i="2"/>
  <c r="U25" i="2"/>
  <c r="R25" i="2"/>
  <c r="Q25" i="2"/>
  <c r="Z24" i="2"/>
  <c r="Y24" i="2"/>
  <c r="V24" i="2"/>
  <c r="U24" i="2"/>
  <c r="R24" i="2"/>
  <c r="Q24" i="2"/>
  <c r="Z23" i="2"/>
  <c r="Y23" i="2"/>
  <c r="V23" i="2"/>
  <c r="U23" i="2"/>
  <c r="R23" i="2"/>
  <c r="Q23" i="2"/>
  <c r="Z22" i="2"/>
  <c r="Y22" i="2"/>
  <c r="V22" i="2"/>
  <c r="U22" i="2"/>
  <c r="R22" i="2"/>
  <c r="Q22" i="2"/>
  <c r="Z21" i="2"/>
  <c r="Y21" i="2"/>
  <c r="V21" i="2"/>
  <c r="U21" i="2"/>
  <c r="R21" i="2"/>
  <c r="Q21" i="2"/>
  <c r="Z16" i="2"/>
  <c r="Y16" i="2"/>
  <c r="V16" i="2"/>
  <c r="U16" i="2"/>
  <c r="R16" i="2"/>
  <c r="Q16" i="2"/>
  <c r="Z15" i="2"/>
  <c r="Y15" i="2"/>
  <c r="V15" i="2"/>
  <c r="U15" i="2"/>
  <c r="R15" i="2"/>
  <c r="Q15" i="2"/>
  <c r="Z14" i="2"/>
  <c r="Y14" i="2"/>
  <c r="V14" i="2"/>
  <c r="U14" i="2"/>
  <c r="R14" i="2"/>
  <c r="Q14" i="2"/>
  <c r="Z13" i="2"/>
  <c r="Y13" i="2"/>
  <c r="V13" i="2"/>
  <c r="U13" i="2"/>
  <c r="R13" i="2"/>
  <c r="Q13" i="2"/>
  <c r="Z12" i="2"/>
  <c r="Y12" i="2"/>
  <c r="V12" i="2"/>
  <c r="U12" i="2"/>
  <c r="R12" i="2"/>
  <c r="Q12" i="2"/>
  <c r="K6" i="2"/>
  <c r="K6" i="1"/>
  <c r="P34" i="1"/>
  <c r="P33" i="1"/>
  <c r="P32" i="1"/>
  <c r="P31" i="1"/>
  <c r="P30" i="1"/>
  <c r="AO25" i="1"/>
  <c r="AK25" i="1"/>
  <c r="AG25" i="1"/>
  <c r="AB25" i="1"/>
  <c r="AA25" i="1"/>
  <c r="Y25" i="1"/>
  <c r="U25" i="1"/>
  <c r="Q25" i="1"/>
  <c r="AO24" i="1"/>
  <c r="AK24" i="1"/>
  <c r="AG24" i="1"/>
  <c r="AB24" i="1"/>
  <c r="AA24" i="1"/>
  <c r="AC24" i="1" s="1"/>
  <c r="Y24" i="1"/>
  <c r="U24" i="1"/>
  <c r="Q24" i="1"/>
  <c r="AO23" i="1"/>
  <c r="AK23" i="1"/>
  <c r="AG23" i="1"/>
  <c r="AB23" i="1"/>
  <c r="AA23" i="1"/>
  <c r="Y23" i="1"/>
  <c r="U23" i="1"/>
  <c r="Q23" i="1"/>
  <c r="AO22" i="1"/>
  <c r="AK22" i="1"/>
  <c r="AG22" i="1"/>
  <c r="AB22" i="1"/>
  <c r="AA22" i="1"/>
  <c r="Y22" i="1"/>
  <c r="U22" i="1"/>
  <c r="Q22" i="1"/>
  <c r="AO21" i="1"/>
  <c r="AK21" i="1"/>
  <c r="AG21" i="1"/>
  <c r="AB21" i="1"/>
  <c r="AA21" i="1"/>
  <c r="Y21" i="1"/>
  <c r="U21" i="1"/>
  <c r="Q21" i="1"/>
  <c r="Y16" i="1"/>
  <c r="U16" i="1"/>
  <c r="Q16" i="1"/>
  <c r="Y15" i="1"/>
  <c r="U15" i="1"/>
  <c r="Q15" i="1"/>
  <c r="Y14" i="1"/>
  <c r="U14" i="1"/>
  <c r="Q14" i="1"/>
  <c r="Y13" i="1"/>
  <c r="U13" i="1"/>
  <c r="Q13" i="1"/>
  <c r="Y12" i="1"/>
  <c r="U12" i="1"/>
  <c r="Q12" i="1"/>
  <c r="AC25" i="1" l="1"/>
  <c r="AC21" i="1"/>
  <c r="AC23" i="1"/>
  <c r="AC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Jasmeet Singh</author>
  </authors>
  <commentList>
    <comment ref="K6" authorId="0" shapeId="0" xr:uid="{0E819F57-A7B9-4510-BE24-283C3E5FEC93}">
      <text>
        <r>
          <rPr>
            <b/>
            <sz val="9"/>
            <color indexed="81"/>
            <rFont val="Tahoma"/>
            <family val="2"/>
          </rPr>
          <t>Jasmeet Singh:</t>
        </r>
        <r>
          <rPr>
            <sz val="9"/>
            <color indexed="81"/>
            <rFont val="Tahoma"/>
            <family val="2"/>
          </rPr>
          <t xml:space="preserve">
=(Sum Total of No. of Questions Answered Correctly by Total No. of Users) / (Sum Total of No. of Questions by Total No. of Users mapped)</t>
        </r>
      </text>
    </comment>
    <comment ref="AD21" authorId="0" shapeId="0" xr:uid="{6B3AB9DD-0AC6-4702-9ECC-E681D3F83666}">
      <text>
        <r>
          <rPr>
            <b/>
            <sz val="9"/>
            <color indexed="81"/>
            <rFont val="Tahoma"/>
            <family val="2"/>
          </rPr>
          <t>Jasmeet Singh:</t>
        </r>
        <r>
          <rPr>
            <sz val="9"/>
            <color indexed="81"/>
            <rFont val="Tahoma"/>
            <family val="2"/>
          </rPr>
          <t xml:space="preserve">
=+(100+0+100)/3</t>
        </r>
      </text>
    </comment>
    <comment ref="AD22" authorId="0" shapeId="0" xr:uid="{2B367855-2E6A-45B2-972F-C008CC219C4B}">
      <text>
        <r>
          <rPr>
            <b/>
            <sz val="9"/>
            <color indexed="81"/>
            <rFont val="Tahoma"/>
            <family val="2"/>
          </rPr>
          <t>Jasmeet Singh:</t>
        </r>
        <r>
          <rPr>
            <sz val="9"/>
            <color indexed="81"/>
            <rFont val="Tahoma"/>
            <family val="2"/>
          </rPr>
          <t xml:space="preserve">
=+(0+0+0)/3</t>
        </r>
      </text>
    </comment>
    <comment ref="AD23" authorId="0" shapeId="0" xr:uid="{C4C77FDD-06D2-4911-9A0F-AA74B71E5467}">
      <text>
        <r>
          <rPr>
            <b/>
            <sz val="9"/>
            <color indexed="81"/>
            <rFont val="Tahoma"/>
            <family val="2"/>
          </rPr>
          <t>Jasmeet Singh:</t>
        </r>
        <r>
          <rPr>
            <sz val="9"/>
            <color indexed="81"/>
            <rFont val="Tahoma"/>
            <family val="2"/>
          </rPr>
          <t xml:space="preserve">
=+(100+100+0)/3</t>
        </r>
      </text>
    </comment>
    <comment ref="AD24" authorId="0" shapeId="0" xr:uid="{1D69852D-C368-4726-A970-717D45454298}">
      <text>
        <r>
          <rPr>
            <b/>
            <sz val="9"/>
            <color indexed="81"/>
            <rFont val="Tahoma"/>
            <family val="2"/>
          </rPr>
          <t>Jasmeet Singh:</t>
        </r>
        <r>
          <rPr>
            <sz val="9"/>
            <color indexed="81"/>
            <rFont val="Tahoma"/>
            <family val="2"/>
          </rPr>
          <t xml:space="preserve">
=+(0+0+0)/3</t>
        </r>
      </text>
    </comment>
    <comment ref="AD25" authorId="0" shapeId="0" xr:uid="{1A55F37F-C84F-4364-AA5A-49D1647A25C6}">
      <text>
        <r>
          <rPr>
            <b/>
            <sz val="9"/>
            <color indexed="81"/>
            <rFont val="Tahoma"/>
            <family val="2"/>
          </rPr>
          <t>Jasmeet Singh:</t>
        </r>
        <r>
          <rPr>
            <sz val="9"/>
            <color indexed="81"/>
            <rFont val="Tahoma"/>
            <family val="2"/>
          </rPr>
          <t xml:space="preserve">
=+(100+75+0)/3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Jasmeet Singh</author>
  </authors>
  <commentList>
    <comment ref="K6" authorId="0" shapeId="0" xr:uid="{B5FACF5B-5D16-46BB-951B-C6C8DCA865C1}">
      <text>
        <r>
          <rPr>
            <b/>
            <sz val="9"/>
            <color indexed="81"/>
            <rFont val="Tahoma"/>
            <family val="2"/>
          </rPr>
          <t>Jasmeet Singh:</t>
        </r>
        <r>
          <rPr>
            <sz val="9"/>
            <color indexed="81"/>
            <rFont val="Tahoma"/>
            <family val="2"/>
          </rPr>
          <t xml:space="preserve">
=(Sum Total of No. of Questions Answered Correctly by Total No. of Users) / (Sum Total of No. of Questions by Total No. of Users)</t>
        </r>
      </text>
    </comment>
  </commentList>
</comments>
</file>

<file path=xl/sharedStrings.xml><?xml version="1.0" encoding="utf-8"?>
<sst xmlns="http://schemas.openxmlformats.org/spreadsheetml/2006/main" count="605" uniqueCount="102">
  <si>
    <t>List of Assessments Completed With Result</t>
  </si>
  <si>
    <t>SECONDARY LEVEL</t>
  </si>
  <si>
    <t>Sheet 1 - Competency Check Level</t>
  </si>
  <si>
    <t>Easy</t>
  </si>
  <si>
    <t>Medium</t>
  </si>
  <si>
    <t>Hard</t>
  </si>
  <si>
    <t>*Assessment ID</t>
  </si>
  <si>
    <t>*Assessment Name</t>
  </si>
  <si>
    <t xml:space="preserve">*Competency Skill Level </t>
  </si>
  <si>
    <t>*Type of Assessment Scheduled</t>
  </si>
  <si>
    <t>*Company Name</t>
  </si>
  <si>
    <t>*Location Name</t>
  </si>
  <si>
    <t>*Name of User</t>
  </si>
  <si>
    <t>*User Email ID</t>
  </si>
  <si>
    <t>*User Department</t>
  </si>
  <si>
    <t>*Total Questions</t>
  </si>
  <si>
    <t>*Questions Attempted</t>
  </si>
  <si>
    <t>*Total Attempt Time</t>
  </si>
  <si>
    <t>*Actual Time Taken</t>
  </si>
  <si>
    <t>*Assessment Completion Date</t>
  </si>
  <si>
    <t>*Question Answered Correctly</t>
  </si>
  <si>
    <t>*Accuracy %</t>
  </si>
  <si>
    <t>*Score Indicator</t>
  </si>
  <si>
    <t>Mix Practice Questions</t>
  </si>
  <si>
    <t>Practical Knowledge</t>
  </si>
  <si>
    <t>Internal One time</t>
  </si>
  <si>
    <t>ProBuds</t>
  </si>
  <si>
    <t>New Delhi</t>
  </si>
  <si>
    <t>Malini K (42)</t>
  </si>
  <si>
    <t>@email</t>
  </si>
  <si>
    <t>Legal</t>
  </si>
  <si>
    <t>36 minutes</t>
  </si>
  <si>
    <t>4 minutes</t>
  </si>
  <si>
    <t>Need More Improvement</t>
  </si>
  <si>
    <t>Good</t>
  </si>
  <si>
    <t>Manpreet Kumar (49)</t>
  </si>
  <si>
    <t>Finance</t>
  </si>
  <si>
    <t>0 minutes</t>
  </si>
  <si>
    <t>Disappointing</t>
  </si>
  <si>
    <t>Marin Hira (39)</t>
  </si>
  <si>
    <t>7 minutes</t>
  </si>
  <si>
    <t>Excellent</t>
  </si>
  <si>
    <t>Shyam Naresh (45)</t>
  </si>
  <si>
    <t>Human Resource</t>
  </si>
  <si>
    <t>Varun Kumar (38)</t>
  </si>
  <si>
    <t>Operations</t>
  </si>
  <si>
    <t>6 minutes</t>
  </si>
  <si>
    <t>Sheet 2 – Subject &gt; Topic</t>
  </si>
  <si>
    <t>GK</t>
  </si>
  <si>
    <t>Maths</t>
  </si>
  <si>
    <t>Science</t>
  </si>
  <si>
    <t>Sports</t>
  </si>
  <si>
    <t>Sports &gt; Athletics</t>
  </si>
  <si>
    <t>Sports &gt; Cricket</t>
  </si>
  <si>
    <t>Sports &gt; Olympics</t>
  </si>
  <si>
    <t>Sheet 3 - Overall</t>
  </si>
  <si>
    <t>Key Improvement Indicator</t>
  </si>
  <si>
    <t>Can do even better</t>
  </si>
  <si>
    <t>More Training Required</t>
  </si>
  <si>
    <t>Excellent Pratical Knowledge</t>
  </si>
  <si>
    <t>PRIMARY LEVEL</t>
  </si>
  <si>
    <t>Name of Assessor</t>
  </si>
  <si>
    <t>Total No. of Users</t>
  </si>
  <si>
    <t>Total No. of Questions</t>
  </si>
  <si>
    <t>Total No. of Users Completing Assessment</t>
  </si>
  <si>
    <t>Overall Accuracy</t>
  </si>
  <si>
    <t>Banesh</t>
  </si>
  <si>
    <t>Assessment Performance Indicators Analysis</t>
  </si>
  <si>
    <t>Sheet 1 - Score Indicators</t>
  </si>
  <si>
    <t>*Average Score</t>
  </si>
  <si>
    <t>Sheet 2 - Key Improvement Indicators</t>
  </si>
  <si>
    <t>Excellent Practical Knowledge</t>
  </si>
  <si>
    <t>Sheet 3 - Question wise</t>
  </si>
  <si>
    <t>Question ID</t>
  </si>
  <si>
    <t>Question Details</t>
  </si>
  <si>
    <t xml:space="preserve">Competency Check Level </t>
  </si>
  <si>
    <t>Subject</t>
  </si>
  <si>
    <t>Topic</t>
  </si>
  <si>
    <t>*No. of Users Attempted Correctly</t>
  </si>
  <si>
    <t>*No. of Users Attempted Incorrectly</t>
  </si>
  <si>
    <t>*No. of Users Not Attempted</t>
  </si>
  <si>
    <t>*Average Time Taken</t>
  </si>
  <si>
    <t>*Overall Accuracy %</t>
  </si>
  <si>
    <t>What is the decimal point of 5 in 5.05 number? Select your answer from the below list</t>
  </si>
  <si>
    <t>Decimals</t>
  </si>
  <si>
    <t>1 minutes</t>
  </si>
  <si>
    <t>Three of Australia’s Test cricket captains were nicknamed Pugsley, Tubby, and Punter.</t>
  </si>
  <si>
    <t>Cricket</t>
  </si>
  <si>
    <t>3 minutes</t>
  </si>
  <si>
    <t>2 minutes</t>
  </si>
  <si>
    <t>Which American athlete won four gold medals at the 1936 Olympic Games in Berlin?</t>
  </si>
  <si>
    <t>Athletics</t>
  </si>
  <si>
    <t>5 minutes</t>
  </si>
  <si>
    <t>For how many days is a Test match scheduled?</t>
  </si>
  <si>
    <t>Which of the following is not an Olympic tradional sport</t>
  </si>
  <si>
    <t>Olympics</t>
  </si>
  <si>
    <t>We inhale air through what part?</t>
  </si>
  <si>
    <t>Our Body</t>
  </si>
  <si>
    <t>9 minutes</t>
  </si>
  <si>
    <t>Which rivers originate from Himalayas?</t>
  </si>
  <si>
    <t>Oceans, Seas, Rivers</t>
  </si>
  <si>
    <t>*No. of Users 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</si>
</sst>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\ hh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24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8"/>
      <color rgb="FF00B0F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7" fillId="3" borderId="1" xfId="0" quotePrefix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10" fontId="7" fillId="0" borderId="1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10" fontId="7" fillId="5" borderId="1" xfId="1" applyNumberFormat="1" applyFont="1" applyFill="1" applyBorder="1" applyAlignment="1">
      <alignment horizontal="center" vertical="center"/>
    </xf>
    <xf numFmtId="0" fontId="7" fillId="6" borderId="0" xfId="0" applyFont="1" applyFill="1" applyAlignment="1">
      <alignment vertical="center"/>
    </xf>
    <xf numFmtId="0" fontId="7" fillId="0" borderId="0" xfId="0" quotePrefix="1" applyFont="1" applyAlignment="1">
      <alignment vertical="center"/>
    </xf>
    <xf numFmtId="0" fontId="7" fillId="6" borderId="1" xfId="0" applyFont="1" applyFill="1" applyBorder="1" applyAlignment="1">
      <alignment vertical="center"/>
    </xf>
    <xf numFmtId="0" fontId="7" fillId="0" borderId="1" xfId="0" quotePrefix="1" applyFont="1" applyBorder="1" applyAlignment="1">
      <alignment vertical="center"/>
    </xf>
    <xf numFmtId="0" fontId="7" fillId="0" borderId="1" xfId="0" applyFont="1" applyBorder="1" applyAlignment="1">
      <alignment vertical="center"/>
    </xf>
    <xf numFmtId="16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9" fontId="0" fillId="0" borderId="0" xfId="1" applyFont="1" applyAlignment="1">
      <alignment horizontal="center"/>
    </xf>
    <xf numFmtId="0" fontId="4" fillId="7" borderId="0" xfId="0" applyFont="1" applyFill="1" applyAlignment="1">
      <alignment vertical="center"/>
    </xf>
    <xf numFmtId="0" fontId="0" fillId="7" borderId="0" xfId="0" applyFill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7" fillId="7" borderId="0" xfId="0" applyFont="1" applyFill="1" applyAlignment="1">
      <alignment vertical="center"/>
    </xf>
    <xf numFmtId="0" fontId="6" fillId="4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F28B-39C3-4F39-B309-8B6471A5CFDA}">
  <dimension ref="A1:AP35"/>
  <sheetViews>
    <sheetView showGridLines="0" tabSelected="1" zoomScaleNormal="100" workbookViewId="0"/>
  </sheetViews>
  <sheetFormatPr defaultRowHeight="15" x14ac:dyDescent="0.25"/>
  <cols>
    <col min="1" max="1" width="11.28515625" bestFit="1" customWidth="1"/>
    <col min="4" max="4" width="11.28515625" customWidth="1"/>
    <col min="10" max="10" width="11.28515625" bestFit="1" customWidth="1"/>
    <col min="11" max="11" width="9.28515625" bestFit="1" customWidth="1"/>
    <col min="14" max="14" width="14.5703125" customWidth="1"/>
    <col min="15" max="15" width="10" style="2" customWidth="1"/>
    <col min="16" max="16" width="10.7109375" style="2" customWidth="1"/>
    <col min="17" max="17" width="9.7109375" style="2" customWidth="1"/>
    <col min="18" max="18" width="21.140625" style="2" customWidth="1"/>
    <col min="19" max="19" width="8" style="2" bestFit="1" customWidth="1"/>
    <col min="20" max="20" width="9.85546875" style="2" customWidth="1"/>
    <col min="21" max="21" width="8.85546875" style="2" bestFit="1" customWidth="1"/>
    <col min="22" max="22" width="10" style="2" customWidth="1"/>
    <col min="23" max="23" width="8" style="2" bestFit="1" customWidth="1"/>
    <col min="24" max="24" width="9.5703125" style="2" customWidth="1"/>
    <col min="25" max="25" width="8.85546875" style="2" bestFit="1" customWidth="1"/>
    <col min="26" max="26" width="9.28515625" style="2" customWidth="1"/>
    <col min="27" max="27" width="8" style="2" bestFit="1" customWidth="1"/>
    <col min="28" max="29" width="8.85546875" style="2" bestFit="1" customWidth="1"/>
    <col min="30" max="30" width="9.7109375" style="2" customWidth="1"/>
  </cols>
  <sheetData>
    <row r="1" spans="1:42" ht="30" x14ac:dyDescent="0.25">
      <c r="A1" s="1" t="s">
        <v>0</v>
      </c>
    </row>
    <row r="2" spans="1:42" s="3" customFormat="1" x14ac:dyDescent="0.25"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42" x14ac:dyDescent="0.25">
      <c r="A3" s="35" t="s">
        <v>60</v>
      </c>
      <c r="B3" s="36"/>
      <c r="C3" s="36"/>
      <c r="D3" s="36"/>
      <c r="E3" s="36"/>
      <c r="F3" s="36"/>
      <c r="G3" s="36"/>
      <c r="H3" s="36"/>
      <c r="I3" s="36"/>
      <c r="J3" s="36"/>
      <c r="K3" s="37"/>
      <c r="L3" s="37"/>
      <c r="M3" s="37"/>
      <c r="N3" s="37"/>
      <c r="O3" s="38"/>
      <c r="P3" s="38"/>
      <c r="Q3" s="38"/>
      <c r="R3" s="38"/>
      <c r="S3" s="38"/>
      <c r="T3" s="39"/>
      <c r="U3" s="38"/>
      <c r="V3" s="38"/>
      <c r="W3" s="38"/>
      <c r="X3" s="38"/>
      <c r="Y3" s="38"/>
      <c r="Z3" s="38"/>
      <c r="AA3" s="38"/>
    </row>
    <row r="4" spans="1:42" x14ac:dyDescent="0.25">
      <c r="Q4" s="34"/>
      <c r="S4" s="20"/>
      <c r="T4" s="20"/>
      <c r="U4" s="20"/>
      <c r="V4" s="20"/>
      <c r="W4" s="20"/>
      <c r="X4" s="20"/>
      <c r="Y4" s="20"/>
      <c r="Z4" s="20"/>
    </row>
    <row r="5" spans="1:42" ht="45" x14ac:dyDescent="0.25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61</v>
      </c>
      <c r="H5" s="8" t="s">
        <v>62</v>
      </c>
      <c r="I5" s="8" t="s">
        <v>63</v>
      </c>
      <c r="J5" s="8" t="s">
        <v>64</v>
      </c>
      <c r="K5" s="8" t="s">
        <v>65</v>
      </c>
      <c r="Q5" s="34"/>
      <c r="S5" s="20"/>
      <c r="T5" s="20"/>
      <c r="U5" s="20"/>
      <c r="V5" s="20"/>
      <c r="W5" s="20"/>
      <c r="X5" s="20"/>
      <c r="Y5" s="20"/>
      <c r="Z5" s="20"/>
    </row>
    <row r="6" spans="1:42" x14ac:dyDescent="0.25">
      <c r="A6" s="12">
        <v>202534875</v>
      </c>
      <c r="B6" s="12" t="s">
        <v>23</v>
      </c>
      <c r="C6" s="12" t="s">
        <v>24</v>
      </c>
      <c r="D6" s="12" t="s">
        <v>25</v>
      </c>
      <c r="E6" s="12" t="s">
        <v>26</v>
      </c>
      <c r="F6" s="12" t="s">
        <v>27</v>
      </c>
      <c r="G6" s="29" t="s">
        <v>66</v>
      </c>
      <c r="H6" s="17">
        <v>5</v>
      </c>
      <c r="I6" s="17">
        <v>7</v>
      </c>
      <c r="J6" s="17">
        <v>3</v>
      </c>
      <c r="K6" s="18">
        <f>12/35</f>
        <v>0.34285714285714286</v>
      </c>
      <c r="Q6" s="34"/>
      <c r="S6" s="20"/>
      <c r="T6" s="20"/>
      <c r="U6" s="20"/>
      <c r="V6" s="20"/>
      <c r="W6" s="20"/>
      <c r="X6" s="20"/>
      <c r="Y6" s="20"/>
      <c r="Z6" s="20"/>
    </row>
    <row r="7" spans="1:42" x14ac:dyDescent="0.25">
      <c r="Q7" s="34"/>
      <c r="S7" s="20"/>
      <c r="T7" s="20"/>
      <c r="U7" s="20"/>
      <c r="V7" s="20"/>
      <c r="W7" s="20"/>
      <c r="X7" s="20"/>
      <c r="Y7" s="20"/>
      <c r="Z7" s="20"/>
    </row>
    <row r="8" spans="1:42" x14ac:dyDescent="0.25">
      <c r="A8" s="35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7"/>
      <c r="L8" s="37"/>
      <c r="M8" s="37"/>
      <c r="N8" s="37"/>
      <c r="O8" s="38"/>
      <c r="P8" s="38"/>
      <c r="Q8" s="38"/>
      <c r="R8" s="38"/>
      <c r="S8" s="38"/>
      <c r="T8" s="39"/>
      <c r="U8" s="38"/>
      <c r="V8" s="38"/>
      <c r="W8" s="38"/>
      <c r="X8" s="38"/>
      <c r="Y8" s="38"/>
      <c r="Z8" s="38"/>
      <c r="AA8" s="38"/>
    </row>
    <row r="9" spans="1:42" s="3" customFormat="1" x14ac:dyDescent="0.25"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42" s="6" customFormat="1" ht="15" customHeight="1" x14ac:dyDescent="0.25">
      <c r="A10" s="5" t="s">
        <v>2</v>
      </c>
      <c r="O10" s="42" t="s">
        <v>3</v>
      </c>
      <c r="P10" s="42"/>
      <c r="Q10" s="42"/>
      <c r="R10" s="42"/>
      <c r="S10" s="42" t="s">
        <v>4</v>
      </c>
      <c r="T10" s="42"/>
      <c r="U10" s="42"/>
      <c r="V10" s="42"/>
      <c r="W10" s="43" t="s">
        <v>5</v>
      </c>
      <c r="X10" s="44"/>
      <c r="Y10" s="44"/>
      <c r="Z10" s="45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s="11" customFormat="1" ht="45" x14ac:dyDescent="0.25">
      <c r="A11" s="8" t="s">
        <v>6</v>
      </c>
      <c r="B11" s="8" t="s">
        <v>7</v>
      </c>
      <c r="C11" s="8" t="s">
        <v>8</v>
      </c>
      <c r="D11" s="8" t="s">
        <v>9</v>
      </c>
      <c r="E11" s="8" t="s">
        <v>10</v>
      </c>
      <c r="F11" s="8" t="s">
        <v>11</v>
      </c>
      <c r="G11" s="9" t="s">
        <v>12</v>
      </c>
      <c r="H11" s="9" t="s">
        <v>13</v>
      </c>
      <c r="I11" s="9" t="s">
        <v>14</v>
      </c>
      <c r="J11" s="9" t="s">
        <v>15</v>
      </c>
      <c r="K11" s="9" t="s">
        <v>16</v>
      </c>
      <c r="L11" s="9" t="s">
        <v>17</v>
      </c>
      <c r="M11" s="9" t="s">
        <v>18</v>
      </c>
      <c r="N11" s="9" t="s">
        <v>19</v>
      </c>
      <c r="O11" s="10" t="s">
        <v>15</v>
      </c>
      <c r="P11" s="10" t="s">
        <v>20</v>
      </c>
      <c r="Q11" s="10" t="s">
        <v>21</v>
      </c>
      <c r="R11" s="10" t="s">
        <v>22</v>
      </c>
      <c r="S11" s="10" t="s">
        <v>15</v>
      </c>
      <c r="T11" s="10" t="s">
        <v>20</v>
      </c>
      <c r="U11" s="10" t="s">
        <v>21</v>
      </c>
      <c r="V11" s="10" t="s">
        <v>22</v>
      </c>
      <c r="W11" s="10" t="s">
        <v>15</v>
      </c>
      <c r="X11" s="10" t="s">
        <v>20</v>
      </c>
      <c r="Y11" s="10" t="s">
        <v>21</v>
      </c>
      <c r="Z11" s="10" t="s">
        <v>22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s="20" customFormat="1" ht="22.5" x14ac:dyDescent="0.25">
      <c r="A12" s="12">
        <v>202534875</v>
      </c>
      <c r="B12" s="12" t="s">
        <v>23</v>
      </c>
      <c r="C12" s="12" t="s">
        <v>24</v>
      </c>
      <c r="D12" s="12" t="s">
        <v>25</v>
      </c>
      <c r="E12" s="12" t="s">
        <v>26</v>
      </c>
      <c r="F12" s="12" t="s">
        <v>27</v>
      </c>
      <c r="G12" s="13" t="s">
        <v>28</v>
      </c>
      <c r="H12" s="14" t="s">
        <v>29</v>
      </c>
      <c r="I12" s="13" t="s">
        <v>30</v>
      </c>
      <c r="J12" s="15">
        <v>7</v>
      </c>
      <c r="K12" s="15">
        <v>7</v>
      </c>
      <c r="L12" s="13" t="s">
        <v>31</v>
      </c>
      <c r="M12" s="13" t="s">
        <v>32</v>
      </c>
      <c r="N12" s="16">
        <v>45796.591666666667</v>
      </c>
      <c r="O12" s="17">
        <v>3</v>
      </c>
      <c r="P12" s="17">
        <v>2</v>
      </c>
      <c r="Q12" s="18">
        <f>+IFERROR(P12/O12,0)</f>
        <v>0.66666666666666663</v>
      </c>
      <c r="R12" s="19" t="s">
        <v>33</v>
      </c>
      <c r="S12" s="17">
        <v>2</v>
      </c>
      <c r="T12" s="17">
        <v>1</v>
      </c>
      <c r="U12" s="18">
        <f>+IFERROR(T12/S12,0)</f>
        <v>0.5</v>
      </c>
      <c r="V12" s="19" t="s">
        <v>33</v>
      </c>
      <c r="W12" s="17">
        <v>2</v>
      </c>
      <c r="X12" s="17">
        <v>1</v>
      </c>
      <c r="Y12" s="18">
        <f>+IFERROR(X12/W12,0)</f>
        <v>0.5</v>
      </c>
      <c r="Z12" s="17" t="s">
        <v>34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s="20" customFormat="1" x14ac:dyDescent="0.25">
      <c r="A13" s="12">
        <v>202534875</v>
      </c>
      <c r="B13" s="12" t="s">
        <v>23</v>
      </c>
      <c r="C13" s="12" t="s">
        <v>24</v>
      </c>
      <c r="D13" s="12" t="s">
        <v>25</v>
      </c>
      <c r="E13" s="12" t="s">
        <v>26</v>
      </c>
      <c r="F13" s="12" t="s">
        <v>27</v>
      </c>
      <c r="G13" s="13" t="s">
        <v>35</v>
      </c>
      <c r="H13" s="14" t="s">
        <v>29</v>
      </c>
      <c r="I13" s="13" t="s">
        <v>36</v>
      </c>
      <c r="J13" s="15">
        <v>7</v>
      </c>
      <c r="K13" s="15">
        <v>0</v>
      </c>
      <c r="L13" s="13" t="s">
        <v>31</v>
      </c>
      <c r="M13" s="13" t="s">
        <v>37</v>
      </c>
      <c r="N13" s="16"/>
      <c r="O13" s="17">
        <v>3</v>
      </c>
      <c r="P13" s="17">
        <v>0</v>
      </c>
      <c r="Q13" s="18">
        <f>+IFERROR(P13/O13,0)</f>
        <v>0</v>
      </c>
      <c r="R13" s="17" t="s">
        <v>38</v>
      </c>
      <c r="S13" s="17">
        <v>2</v>
      </c>
      <c r="T13" s="17">
        <v>0</v>
      </c>
      <c r="U13" s="18">
        <f>+IFERROR(T13/S13,0)</f>
        <v>0</v>
      </c>
      <c r="V13" s="17" t="s">
        <v>38</v>
      </c>
      <c r="W13" s="17">
        <v>2</v>
      </c>
      <c r="X13" s="17">
        <v>0</v>
      </c>
      <c r="Y13" s="18">
        <f>+IFERROR(X13/W13,0)</f>
        <v>0</v>
      </c>
      <c r="Z13" s="17" t="s">
        <v>38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s="20" customFormat="1" x14ac:dyDescent="0.25">
      <c r="A14" s="12">
        <v>202534875</v>
      </c>
      <c r="B14" s="12" t="s">
        <v>23</v>
      </c>
      <c r="C14" s="12" t="s">
        <v>24</v>
      </c>
      <c r="D14" s="12" t="s">
        <v>25</v>
      </c>
      <c r="E14" s="12" t="s">
        <v>26</v>
      </c>
      <c r="F14" s="12" t="s">
        <v>27</v>
      </c>
      <c r="G14" s="13" t="s">
        <v>39</v>
      </c>
      <c r="H14" s="14" t="s">
        <v>29</v>
      </c>
      <c r="I14" s="13" t="s">
        <v>36</v>
      </c>
      <c r="J14" s="15">
        <v>7</v>
      </c>
      <c r="K14" s="15">
        <v>7</v>
      </c>
      <c r="L14" s="13" t="s">
        <v>31</v>
      </c>
      <c r="M14" s="13" t="s">
        <v>40</v>
      </c>
      <c r="N14" s="16">
        <v>45796.665277777778</v>
      </c>
      <c r="O14" s="17">
        <v>3</v>
      </c>
      <c r="P14" s="17">
        <v>3</v>
      </c>
      <c r="Q14" s="18">
        <f>+IFERROR(P14/O14,0)</f>
        <v>1</v>
      </c>
      <c r="R14" s="17" t="s">
        <v>41</v>
      </c>
      <c r="S14" s="17">
        <v>2</v>
      </c>
      <c r="T14" s="17">
        <v>0</v>
      </c>
      <c r="U14" s="18">
        <f>+IFERROR(T14/S14,0)</f>
        <v>0</v>
      </c>
      <c r="V14" s="17" t="s">
        <v>38</v>
      </c>
      <c r="W14" s="17">
        <v>2</v>
      </c>
      <c r="X14" s="17">
        <v>1</v>
      </c>
      <c r="Y14" s="18">
        <f>+IFERROR(X14/W14,0)</f>
        <v>0.5</v>
      </c>
      <c r="Z14" s="17" t="s">
        <v>38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s="20" customFormat="1" x14ac:dyDescent="0.25">
      <c r="A15" s="12">
        <v>202534875</v>
      </c>
      <c r="B15" s="12" t="s">
        <v>23</v>
      </c>
      <c r="C15" s="12" t="s">
        <v>24</v>
      </c>
      <c r="D15" s="12" t="s">
        <v>25</v>
      </c>
      <c r="E15" s="12" t="s">
        <v>26</v>
      </c>
      <c r="F15" s="12" t="s">
        <v>27</v>
      </c>
      <c r="G15" s="13" t="s">
        <v>42</v>
      </c>
      <c r="H15" s="14" t="s">
        <v>29</v>
      </c>
      <c r="I15" s="13" t="s">
        <v>43</v>
      </c>
      <c r="J15" s="15">
        <v>7</v>
      </c>
      <c r="K15" s="15">
        <v>0</v>
      </c>
      <c r="L15" s="13" t="s">
        <v>31</v>
      </c>
      <c r="M15" s="13" t="s">
        <v>37</v>
      </c>
      <c r="N15" s="16"/>
      <c r="O15" s="17">
        <v>3</v>
      </c>
      <c r="P15" s="17">
        <v>0</v>
      </c>
      <c r="Q15" s="18">
        <f>+IFERROR(P15/O15,0)</f>
        <v>0</v>
      </c>
      <c r="R15" s="17" t="s">
        <v>38</v>
      </c>
      <c r="S15" s="17">
        <v>2</v>
      </c>
      <c r="T15" s="17">
        <v>0</v>
      </c>
      <c r="U15" s="18">
        <f>+IFERROR(T15/S15,0)</f>
        <v>0</v>
      </c>
      <c r="V15" s="17" t="s">
        <v>38</v>
      </c>
      <c r="W15" s="17">
        <v>2</v>
      </c>
      <c r="X15" s="17">
        <v>0</v>
      </c>
      <c r="Y15" s="18">
        <f>+IFERROR(X15/W15,0)</f>
        <v>0</v>
      </c>
      <c r="Z15" s="17" t="s">
        <v>38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s="20" customFormat="1" x14ac:dyDescent="0.25">
      <c r="A16" s="12">
        <v>202534875</v>
      </c>
      <c r="B16" s="12" t="s">
        <v>23</v>
      </c>
      <c r="C16" s="12" t="s">
        <v>24</v>
      </c>
      <c r="D16" s="12" t="s">
        <v>25</v>
      </c>
      <c r="E16" s="12" t="s">
        <v>26</v>
      </c>
      <c r="F16" s="12" t="s">
        <v>27</v>
      </c>
      <c r="G16" s="13" t="s">
        <v>44</v>
      </c>
      <c r="H16" s="14" t="s">
        <v>29</v>
      </c>
      <c r="I16" s="13" t="s">
        <v>45</v>
      </c>
      <c r="J16" s="15">
        <v>7</v>
      </c>
      <c r="K16" s="15">
        <v>7</v>
      </c>
      <c r="L16" s="13" t="s">
        <v>31</v>
      </c>
      <c r="M16" s="13" t="s">
        <v>46</v>
      </c>
      <c r="N16" s="16">
        <v>45796.661111111112</v>
      </c>
      <c r="O16" s="17">
        <v>3</v>
      </c>
      <c r="P16" s="17">
        <v>0</v>
      </c>
      <c r="Q16" s="18">
        <f>+IFERROR(P16/O16,0)</f>
        <v>0</v>
      </c>
      <c r="R16" s="17" t="s">
        <v>38</v>
      </c>
      <c r="S16" s="17">
        <v>2</v>
      </c>
      <c r="T16" s="17">
        <v>2</v>
      </c>
      <c r="U16" s="18">
        <f>+IFERROR(T16/S16,0)</f>
        <v>1</v>
      </c>
      <c r="V16" s="17" t="s">
        <v>41</v>
      </c>
      <c r="W16" s="17">
        <v>2</v>
      </c>
      <c r="X16" s="17">
        <v>2</v>
      </c>
      <c r="Y16" s="18">
        <f>+IFERROR(X16/W16,0)</f>
        <v>1</v>
      </c>
      <c r="Z16" s="17" t="s">
        <v>41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2" x14ac:dyDescent="0.25">
      <c r="J17" s="2"/>
      <c r="K17" s="2"/>
    </row>
    <row r="18" spans="1:42" x14ac:dyDescent="0.25">
      <c r="J18" s="2"/>
      <c r="K18" s="2"/>
    </row>
    <row r="19" spans="1:42" s="22" customFormat="1" ht="15" customHeight="1" x14ac:dyDescent="0.2">
      <c r="A19" s="21" t="s">
        <v>47</v>
      </c>
      <c r="J19" s="23"/>
      <c r="K19" s="23"/>
      <c r="O19" s="46" t="s">
        <v>48</v>
      </c>
      <c r="P19" s="46"/>
      <c r="Q19" s="46"/>
      <c r="R19" s="46"/>
      <c r="S19" s="46" t="s">
        <v>49</v>
      </c>
      <c r="T19" s="46"/>
      <c r="U19" s="46"/>
      <c r="V19" s="46"/>
      <c r="W19" s="47" t="s">
        <v>50</v>
      </c>
      <c r="X19" s="48"/>
      <c r="Y19" s="48"/>
      <c r="Z19" s="49"/>
      <c r="AA19" s="40" t="s">
        <v>51</v>
      </c>
      <c r="AB19" s="40"/>
      <c r="AC19" s="40"/>
      <c r="AD19" s="40"/>
      <c r="AE19" s="41" t="s">
        <v>52</v>
      </c>
      <c r="AF19" s="41"/>
      <c r="AG19" s="41"/>
      <c r="AH19" s="41"/>
      <c r="AI19" s="41" t="s">
        <v>53</v>
      </c>
      <c r="AJ19" s="41"/>
      <c r="AK19" s="41"/>
      <c r="AL19" s="41"/>
      <c r="AM19" s="41" t="s">
        <v>54</v>
      </c>
      <c r="AN19" s="41"/>
      <c r="AO19" s="41"/>
      <c r="AP19" s="41"/>
    </row>
    <row r="20" spans="1:42" s="11" customFormat="1" ht="45" x14ac:dyDescent="0.25">
      <c r="A20" s="9" t="s">
        <v>6</v>
      </c>
      <c r="B20" s="9" t="s">
        <v>7</v>
      </c>
      <c r="C20" s="9" t="s">
        <v>8</v>
      </c>
      <c r="D20" s="9" t="s">
        <v>9</v>
      </c>
      <c r="E20" s="9" t="s">
        <v>10</v>
      </c>
      <c r="F20" s="9" t="s">
        <v>11</v>
      </c>
      <c r="G20" s="9" t="s">
        <v>12</v>
      </c>
      <c r="H20" s="9" t="s">
        <v>13</v>
      </c>
      <c r="I20" s="9" t="s">
        <v>14</v>
      </c>
      <c r="J20" s="9" t="s">
        <v>15</v>
      </c>
      <c r="K20" s="9" t="s">
        <v>16</v>
      </c>
      <c r="L20" s="9" t="s">
        <v>17</v>
      </c>
      <c r="M20" s="9" t="s">
        <v>18</v>
      </c>
      <c r="N20" s="9" t="s">
        <v>19</v>
      </c>
      <c r="O20" s="10" t="s">
        <v>15</v>
      </c>
      <c r="P20" s="10" t="s">
        <v>20</v>
      </c>
      <c r="Q20" s="10" t="s">
        <v>21</v>
      </c>
      <c r="R20" s="10" t="s">
        <v>22</v>
      </c>
      <c r="S20" s="10" t="s">
        <v>15</v>
      </c>
      <c r="T20" s="10" t="s">
        <v>20</v>
      </c>
      <c r="U20" s="10" t="s">
        <v>21</v>
      </c>
      <c r="V20" s="10" t="s">
        <v>22</v>
      </c>
      <c r="W20" s="10" t="s">
        <v>15</v>
      </c>
      <c r="X20" s="10" t="s">
        <v>20</v>
      </c>
      <c r="Y20" s="10" t="s">
        <v>21</v>
      </c>
      <c r="Z20" s="10" t="s">
        <v>22</v>
      </c>
      <c r="AA20" s="10" t="s">
        <v>15</v>
      </c>
      <c r="AB20" s="10" t="s">
        <v>20</v>
      </c>
      <c r="AC20" s="10" t="s">
        <v>21</v>
      </c>
      <c r="AD20" s="10" t="s">
        <v>22</v>
      </c>
      <c r="AE20" s="24" t="s">
        <v>15</v>
      </c>
      <c r="AF20" s="24" t="s">
        <v>20</v>
      </c>
      <c r="AG20" s="24" t="s">
        <v>21</v>
      </c>
      <c r="AH20" s="24" t="s">
        <v>22</v>
      </c>
      <c r="AI20" s="24" t="s">
        <v>15</v>
      </c>
      <c r="AJ20" s="24" t="s">
        <v>20</v>
      </c>
      <c r="AK20" s="24" t="s">
        <v>21</v>
      </c>
      <c r="AL20" s="24" t="s">
        <v>22</v>
      </c>
      <c r="AM20" s="24" t="s">
        <v>15</v>
      </c>
      <c r="AN20" s="24" t="s">
        <v>20</v>
      </c>
      <c r="AO20" s="24" t="s">
        <v>21</v>
      </c>
      <c r="AP20" s="24" t="s">
        <v>22</v>
      </c>
    </row>
    <row r="21" spans="1:42" s="20" customFormat="1" ht="11.25" x14ac:dyDescent="0.25">
      <c r="A21" s="13">
        <v>202534875</v>
      </c>
      <c r="B21" s="13" t="s">
        <v>23</v>
      </c>
      <c r="C21" s="13" t="s">
        <v>24</v>
      </c>
      <c r="D21" s="13" t="s">
        <v>25</v>
      </c>
      <c r="E21" s="13" t="s">
        <v>26</v>
      </c>
      <c r="F21" s="13" t="s">
        <v>27</v>
      </c>
      <c r="G21" s="13" t="s">
        <v>28</v>
      </c>
      <c r="H21" s="14" t="s">
        <v>29</v>
      </c>
      <c r="I21" s="13" t="s">
        <v>30</v>
      </c>
      <c r="J21" s="15">
        <v>7</v>
      </c>
      <c r="K21" s="15">
        <v>7</v>
      </c>
      <c r="L21" s="13" t="s">
        <v>31</v>
      </c>
      <c r="M21" s="13" t="s">
        <v>32</v>
      </c>
      <c r="N21" s="16">
        <v>45796.591666666667</v>
      </c>
      <c r="O21" s="17">
        <v>1</v>
      </c>
      <c r="P21" s="17">
        <v>0</v>
      </c>
      <c r="Q21" s="18">
        <f>+IFERROR(P21/O21,0)</f>
        <v>0</v>
      </c>
      <c r="R21" s="17" t="s">
        <v>38</v>
      </c>
      <c r="S21" s="17">
        <v>1</v>
      </c>
      <c r="T21" s="17">
        <v>1</v>
      </c>
      <c r="U21" s="18">
        <f>+IFERROR(T21/S21,0)</f>
        <v>1</v>
      </c>
      <c r="V21" s="17" t="s">
        <v>41</v>
      </c>
      <c r="W21" s="17">
        <v>1</v>
      </c>
      <c r="X21" s="17">
        <v>1</v>
      </c>
      <c r="Y21" s="18">
        <f>+IFERROR(X21/W21,0)</f>
        <v>1</v>
      </c>
      <c r="Z21" s="17" t="s">
        <v>41</v>
      </c>
      <c r="AA21" s="17">
        <f t="shared" ref="AA21:AB25" si="0">+SUM(AE21,AI21,AM21)</f>
        <v>4</v>
      </c>
      <c r="AB21" s="17">
        <f t="shared" si="0"/>
        <v>2</v>
      </c>
      <c r="AC21" s="18">
        <f>+IFERROR(AB21/AA21,0)</f>
        <v>0.5</v>
      </c>
      <c r="AD21" s="17" t="s">
        <v>34</v>
      </c>
      <c r="AE21" s="25">
        <v>1</v>
      </c>
      <c r="AF21" s="25">
        <v>1</v>
      </c>
      <c r="AG21" s="26">
        <f>+IFERROR(AF21/AE21,0)</f>
        <v>1</v>
      </c>
      <c r="AH21" s="25" t="s">
        <v>41</v>
      </c>
      <c r="AI21" s="25">
        <v>2</v>
      </c>
      <c r="AJ21" s="25">
        <v>0</v>
      </c>
      <c r="AK21" s="26">
        <f>+IFERROR(AJ21/AI21,0)</f>
        <v>0</v>
      </c>
      <c r="AL21" s="25" t="s">
        <v>38</v>
      </c>
      <c r="AM21" s="25">
        <v>1</v>
      </c>
      <c r="AN21" s="25">
        <v>1</v>
      </c>
      <c r="AO21" s="26">
        <f>+IFERROR(AN21/AM21,0)</f>
        <v>1</v>
      </c>
      <c r="AP21" s="25" t="s">
        <v>41</v>
      </c>
    </row>
    <row r="22" spans="1:42" s="20" customFormat="1" ht="11.25" x14ac:dyDescent="0.25">
      <c r="A22" s="13">
        <v>202534875</v>
      </c>
      <c r="B22" s="13" t="s">
        <v>23</v>
      </c>
      <c r="C22" s="13" t="s">
        <v>24</v>
      </c>
      <c r="D22" s="13" t="s">
        <v>25</v>
      </c>
      <c r="E22" s="13" t="s">
        <v>26</v>
      </c>
      <c r="F22" s="13" t="s">
        <v>27</v>
      </c>
      <c r="G22" s="13" t="s">
        <v>35</v>
      </c>
      <c r="H22" s="14" t="s">
        <v>29</v>
      </c>
      <c r="I22" s="13" t="s">
        <v>36</v>
      </c>
      <c r="J22" s="15">
        <v>7</v>
      </c>
      <c r="K22" s="15">
        <v>0</v>
      </c>
      <c r="L22" s="13" t="s">
        <v>31</v>
      </c>
      <c r="M22" s="13" t="s">
        <v>37</v>
      </c>
      <c r="N22" s="16"/>
      <c r="O22" s="17">
        <v>1</v>
      </c>
      <c r="P22" s="17">
        <v>0</v>
      </c>
      <c r="Q22" s="18">
        <f>+IFERROR(P22/O22,0)</f>
        <v>0</v>
      </c>
      <c r="R22" s="17" t="s">
        <v>38</v>
      </c>
      <c r="S22" s="17">
        <v>1</v>
      </c>
      <c r="T22" s="17">
        <v>0</v>
      </c>
      <c r="U22" s="18">
        <f>+IFERROR(T22/S22,0)</f>
        <v>0</v>
      </c>
      <c r="V22" s="17" t="s">
        <v>38</v>
      </c>
      <c r="W22" s="17">
        <v>1</v>
      </c>
      <c r="X22" s="17">
        <v>0</v>
      </c>
      <c r="Y22" s="18">
        <f>+IFERROR(X22/W22,0)</f>
        <v>0</v>
      </c>
      <c r="Z22" s="17" t="s">
        <v>38</v>
      </c>
      <c r="AA22" s="17">
        <f t="shared" si="0"/>
        <v>4</v>
      </c>
      <c r="AB22" s="17">
        <f t="shared" si="0"/>
        <v>0</v>
      </c>
      <c r="AC22" s="18">
        <f>+IFERROR(AB22/AA22,0)</f>
        <v>0</v>
      </c>
      <c r="AD22" s="17" t="s">
        <v>38</v>
      </c>
      <c r="AE22" s="25">
        <v>1</v>
      </c>
      <c r="AF22" s="25">
        <v>0</v>
      </c>
      <c r="AG22" s="26">
        <f>+IFERROR(AF22/AE22,0)</f>
        <v>0</v>
      </c>
      <c r="AH22" s="25" t="s">
        <v>38</v>
      </c>
      <c r="AI22" s="25">
        <v>2</v>
      </c>
      <c r="AJ22" s="25">
        <v>0</v>
      </c>
      <c r="AK22" s="26">
        <f>+IFERROR(AJ22/AI22,0)</f>
        <v>0</v>
      </c>
      <c r="AL22" s="25" t="s">
        <v>38</v>
      </c>
      <c r="AM22" s="25">
        <v>1</v>
      </c>
      <c r="AN22" s="25">
        <v>0</v>
      </c>
      <c r="AO22" s="26">
        <f>+IFERROR(AN22/AM22,0)</f>
        <v>0</v>
      </c>
      <c r="AP22" s="25" t="s">
        <v>38</v>
      </c>
    </row>
    <row r="23" spans="1:42" s="20" customFormat="1" ht="11.25" x14ac:dyDescent="0.25">
      <c r="A23" s="13">
        <v>202534875</v>
      </c>
      <c r="B23" s="13" t="s">
        <v>23</v>
      </c>
      <c r="C23" s="13" t="s">
        <v>24</v>
      </c>
      <c r="D23" s="13" t="s">
        <v>25</v>
      </c>
      <c r="E23" s="13" t="s">
        <v>26</v>
      </c>
      <c r="F23" s="13" t="s">
        <v>27</v>
      </c>
      <c r="G23" s="13" t="s">
        <v>39</v>
      </c>
      <c r="H23" s="14" t="s">
        <v>29</v>
      </c>
      <c r="I23" s="13" t="s">
        <v>36</v>
      </c>
      <c r="J23" s="15">
        <v>7</v>
      </c>
      <c r="K23" s="15">
        <v>7</v>
      </c>
      <c r="L23" s="13" t="s">
        <v>31</v>
      </c>
      <c r="M23" s="13" t="s">
        <v>40</v>
      </c>
      <c r="N23" s="16">
        <v>45796.665277777778</v>
      </c>
      <c r="O23" s="17">
        <v>1</v>
      </c>
      <c r="P23" s="17">
        <v>0</v>
      </c>
      <c r="Q23" s="18">
        <f>+IFERROR(P23/O23,0)</f>
        <v>0</v>
      </c>
      <c r="R23" s="17" t="s">
        <v>38</v>
      </c>
      <c r="S23" s="17">
        <v>1</v>
      </c>
      <c r="T23" s="17">
        <v>1</v>
      </c>
      <c r="U23" s="18">
        <f>+IFERROR(T23/S23,0)</f>
        <v>1</v>
      </c>
      <c r="V23" s="17" t="s">
        <v>41</v>
      </c>
      <c r="W23" s="17">
        <v>1</v>
      </c>
      <c r="X23" s="17">
        <v>0</v>
      </c>
      <c r="Y23" s="18">
        <f>+IFERROR(X23/W23,0)</f>
        <v>0</v>
      </c>
      <c r="Z23" s="17" t="s">
        <v>38</v>
      </c>
      <c r="AA23" s="17">
        <f t="shared" si="0"/>
        <v>4</v>
      </c>
      <c r="AB23" s="17">
        <f t="shared" si="0"/>
        <v>3</v>
      </c>
      <c r="AC23" s="18">
        <f>+IFERROR(AB23/AA23,0)</f>
        <v>0.75</v>
      </c>
      <c r="AD23" s="17" t="s">
        <v>34</v>
      </c>
      <c r="AE23" s="25">
        <v>1</v>
      </c>
      <c r="AF23" s="25">
        <v>0</v>
      </c>
      <c r="AG23" s="26">
        <f>+IFERROR(AF23/AE23,0)</f>
        <v>0</v>
      </c>
      <c r="AH23" s="25" t="s">
        <v>38</v>
      </c>
      <c r="AI23" s="25">
        <v>2</v>
      </c>
      <c r="AJ23" s="25">
        <v>2</v>
      </c>
      <c r="AK23" s="26">
        <f>+IFERROR(AJ23/AI23,0)</f>
        <v>1</v>
      </c>
      <c r="AL23" s="25" t="s">
        <v>41</v>
      </c>
      <c r="AM23" s="25">
        <v>1</v>
      </c>
      <c r="AN23" s="25">
        <v>1</v>
      </c>
      <c r="AO23" s="26">
        <f>+IFERROR(AN23/AM23,0)</f>
        <v>1</v>
      </c>
      <c r="AP23" s="25" t="s">
        <v>41</v>
      </c>
    </row>
    <row r="24" spans="1:42" s="20" customFormat="1" ht="11.25" x14ac:dyDescent="0.25">
      <c r="A24" s="13">
        <v>202534875</v>
      </c>
      <c r="B24" s="13" t="s">
        <v>23</v>
      </c>
      <c r="C24" s="13" t="s">
        <v>24</v>
      </c>
      <c r="D24" s="13" t="s">
        <v>25</v>
      </c>
      <c r="E24" s="13" t="s">
        <v>26</v>
      </c>
      <c r="F24" s="13" t="s">
        <v>27</v>
      </c>
      <c r="G24" s="13" t="s">
        <v>42</v>
      </c>
      <c r="H24" s="14" t="s">
        <v>29</v>
      </c>
      <c r="I24" s="13" t="s">
        <v>43</v>
      </c>
      <c r="J24" s="15">
        <v>7</v>
      </c>
      <c r="K24" s="15">
        <v>0</v>
      </c>
      <c r="L24" s="13" t="s">
        <v>31</v>
      </c>
      <c r="M24" s="13" t="s">
        <v>37</v>
      </c>
      <c r="N24" s="16"/>
      <c r="O24" s="17">
        <v>1</v>
      </c>
      <c r="P24" s="17">
        <v>0</v>
      </c>
      <c r="Q24" s="18">
        <f>+IFERROR(P24/O24,0)</f>
        <v>0</v>
      </c>
      <c r="R24" s="17" t="s">
        <v>38</v>
      </c>
      <c r="S24" s="17">
        <v>1</v>
      </c>
      <c r="T24" s="17">
        <v>0</v>
      </c>
      <c r="U24" s="18">
        <f>+IFERROR(T24/S24,0)</f>
        <v>0</v>
      </c>
      <c r="V24" s="17" t="s">
        <v>38</v>
      </c>
      <c r="W24" s="17">
        <v>1</v>
      </c>
      <c r="X24" s="17">
        <v>0</v>
      </c>
      <c r="Y24" s="18">
        <f>+IFERROR(X24/W24,0)</f>
        <v>0</v>
      </c>
      <c r="Z24" s="17" t="s">
        <v>38</v>
      </c>
      <c r="AA24" s="17">
        <f t="shared" si="0"/>
        <v>4</v>
      </c>
      <c r="AB24" s="17">
        <f t="shared" si="0"/>
        <v>0</v>
      </c>
      <c r="AC24" s="18">
        <f>+IFERROR(AB24/AA24,0)</f>
        <v>0</v>
      </c>
      <c r="AD24" s="17" t="s">
        <v>38</v>
      </c>
      <c r="AE24" s="25">
        <v>1</v>
      </c>
      <c r="AF24" s="25">
        <v>0</v>
      </c>
      <c r="AG24" s="26">
        <f>+IFERROR(AF24/AE24,0)</f>
        <v>0</v>
      </c>
      <c r="AH24" s="25" t="s">
        <v>38</v>
      </c>
      <c r="AI24" s="25">
        <v>2</v>
      </c>
      <c r="AJ24" s="25">
        <v>0</v>
      </c>
      <c r="AK24" s="26">
        <f>+IFERROR(AJ24/AI24,0)</f>
        <v>0</v>
      </c>
      <c r="AL24" s="25" t="s">
        <v>38</v>
      </c>
      <c r="AM24" s="25">
        <v>1</v>
      </c>
      <c r="AN24" s="25">
        <v>0</v>
      </c>
      <c r="AO24" s="26">
        <f>+IFERROR(AN24/AM24,0)</f>
        <v>0</v>
      </c>
      <c r="AP24" s="25" t="s">
        <v>38</v>
      </c>
    </row>
    <row r="25" spans="1:42" s="20" customFormat="1" ht="22.5" x14ac:dyDescent="0.25">
      <c r="A25" s="13">
        <v>202534875</v>
      </c>
      <c r="B25" s="13" t="s">
        <v>23</v>
      </c>
      <c r="C25" s="13" t="s">
        <v>24</v>
      </c>
      <c r="D25" s="13" t="s">
        <v>25</v>
      </c>
      <c r="E25" s="13" t="s">
        <v>26</v>
      </c>
      <c r="F25" s="13" t="s">
        <v>27</v>
      </c>
      <c r="G25" s="13" t="s">
        <v>44</v>
      </c>
      <c r="H25" s="14" t="s">
        <v>29</v>
      </c>
      <c r="I25" s="13" t="s">
        <v>45</v>
      </c>
      <c r="J25" s="15">
        <v>7</v>
      </c>
      <c r="K25" s="15">
        <v>7</v>
      </c>
      <c r="L25" s="13" t="s">
        <v>31</v>
      </c>
      <c r="M25" s="13" t="s">
        <v>46</v>
      </c>
      <c r="N25" s="16">
        <v>45796.661111111112</v>
      </c>
      <c r="O25" s="17">
        <v>1</v>
      </c>
      <c r="P25" s="17">
        <v>1</v>
      </c>
      <c r="Q25" s="18">
        <f>+IFERROR(P25/O25,0)</f>
        <v>1</v>
      </c>
      <c r="R25" s="17" t="s">
        <v>41</v>
      </c>
      <c r="S25" s="17">
        <v>1</v>
      </c>
      <c r="T25" s="17">
        <v>0</v>
      </c>
      <c r="U25" s="18">
        <f>+IFERROR(T25/S25,0)</f>
        <v>0</v>
      </c>
      <c r="V25" s="17" t="s">
        <v>38</v>
      </c>
      <c r="W25" s="17">
        <v>1</v>
      </c>
      <c r="X25" s="17">
        <v>1</v>
      </c>
      <c r="Y25" s="18">
        <f>+IFERROR(X25/W25,0)</f>
        <v>1</v>
      </c>
      <c r="Z25" s="17" t="s">
        <v>41</v>
      </c>
      <c r="AA25" s="17">
        <f t="shared" si="0"/>
        <v>4</v>
      </c>
      <c r="AB25" s="17">
        <f t="shared" si="0"/>
        <v>2</v>
      </c>
      <c r="AC25" s="18">
        <f>+IFERROR(AB25/AA25,0)</f>
        <v>0.5</v>
      </c>
      <c r="AD25" s="19" t="s">
        <v>33</v>
      </c>
      <c r="AE25" s="25">
        <v>1</v>
      </c>
      <c r="AF25" s="25">
        <v>1</v>
      </c>
      <c r="AG25" s="26">
        <f>+IFERROR(AF25/AE25,0)</f>
        <v>1</v>
      </c>
      <c r="AH25" s="25" t="s">
        <v>41</v>
      </c>
      <c r="AI25" s="25">
        <v>2</v>
      </c>
      <c r="AJ25" s="25">
        <v>1</v>
      </c>
      <c r="AK25" s="26">
        <f>+IFERROR(AJ25/AI25,0)</f>
        <v>0.5</v>
      </c>
      <c r="AL25" s="25" t="s">
        <v>34</v>
      </c>
      <c r="AM25" s="25">
        <v>1</v>
      </c>
      <c r="AN25" s="25">
        <v>0</v>
      </c>
      <c r="AO25" s="26">
        <f>+IFERROR(AN25/AM25,0)</f>
        <v>0</v>
      </c>
      <c r="AP25" s="25" t="s">
        <v>38</v>
      </c>
    </row>
    <row r="26" spans="1:42" s="20" customFormat="1" ht="11.25" x14ac:dyDescent="0.25">
      <c r="G26" s="27"/>
      <c r="H26" s="28"/>
    </row>
    <row r="27" spans="1:42" s="20" customFormat="1" ht="11.25" x14ac:dyDescent="0.25">
      <c r="G27" s="27"/>
      <c r="H27" s="28"/>
    </row>
    <row r="28" spans="1:42" s="6" customFormat="1" ht="15" customHeight="1" x14ac:dyDescent="0.25">
      <c r="A28" s="5" t="s">
        <v>55</v>
      </c>
      <c r="R28" s="20"/>
      <c r="S28" s="20"/>
      <c r="T28" s="20"/>
      <c r="U28" s="20"/>
      <c r="V28" s="20"/>
      <c r="W28" s="20"/>
      <c r="X28" s="20"/>
      <c r="Y28" s="20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2" s="11" customFormat="1" ht="45" x14ac:dyDescent="0.25">
      <c r="A29" s="8" t="s">
        <v>6</v>
      </c>
      <c r="B29" s="8" t="s">
        <v>7</v>
      </c>
      <c r="C29" s="8" t="s">
        <v>8</v>
      </c>
      <c r="D29" s="8" t="s">
        <v>9</v>
      </c>
      <c r="E29" s="8" t="s">
        <v>10</v>
      </c>
      <c r="F29" s="8" t="s">
        <v>11</v>
      </c>
      <c r="G29" s="10" t="s">
        <v>12</v>
      </c>
      <c r="H29" s="10" t="s">
        <v>13</v>
      </c>
      <c r="I29" s="10" t="s">
        <v>14</v>
      </c>
      <c r="J29" s="10" t="s">
        <v>15</v>
      </c>
      <c r="K29" s="10" t="s">
        <v>16</v>
      </c>
      <c r="L29" s="10" t="s">
        <v>17</v>
      </c>
      <c r="M29" s="10" t="s">
        <v>18</v>
      </c>
      <c r="N29" s="10" t="s">
        <v>19</v>
      </c>
      <c r="O29" s="10" t="s">
        <v>20</v>
      </c>
      <c r="P29" s="10" t="s">
        <v>21</v>
      </c>
      <c r="Q29" s="10" t="s">
        <v>22</v>
      </c>
      <c r="R29" s="10" t="s">
        <v>56</v>
      </c>
      <c r="S29" s="20"/>
      <c r="T29" s="20"/>
      <c r="U29" s="20"/>
      <c r="V29" s="20"/>
      <c r="W29" s="20"/>
      <c r="X29" s="20"/>
      <c r="Y29" s="20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</row>
    <row r="30" spans="1:42" s="20" customFormat="1" x14ac:dyDescent="0.25">
      <c r="A30" s="12">
        <v>202534875</v>
      </c>
      <c r="B30" s="12" t="s">
        <v>23</v>
      </c>
      <c r="C30" s="12" t="s">
        <v>24</v>
      </c>
      <c r="D30" s="12" t="s">
        <v>25</v>
      </c>
      <c r="E30" s="12" t="s">
        <v>26</v>
      </c>
      <c r="F30" s="12" t="s">
        <v>27</v>
      </c>
      <c r="G30" s="29" t="s">
        <v>28</v>
      </c>
      <c r="H30" s="30" t="s">
        <v>29</v>
      </c>
      <c r="I30" s="31" t="s">
        <v>30</v>
      </c>
      <c r="J30" s="17">
        <v>7</v>
      </c>
      <c r="K30" s="17">
        <v>7</v>
      </c>
      <c r="L30" s="31" t="s">
        <v>31</v>
      </c>
      <c r="M30" s="31" t="s">
        <v>32</v>
      </c>
      <c r="N30" s="32">
        <v>45796.591666666667</v>
      </c>
      <c r="O30" s="17">
        <v>4</v>
      </c>
      <c r="P30" s="18">
        <f>+IFERROR(O30/J30,0)</f>
        <v>0.5714285714285714</v>
      </c>
      <c r="Q30" s="19" t="s">
        <v>34</v>
      </c>
      <c r="R30" s="33" t="s">
        <v>57</v>
      </c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</row>
    <row r="31" spans="1:42" s="20" customFormat="1" x14ac:dyDescent="0.25">
      <c r="A31" s="12">
        <v>202534875</v>
      </c>
      <c r="B31" s="12" t="s">
        <v>23</v>
      </c>
      <c r="C31" s="12" t="s">
        <v>24</v>
      </c>
      <c r="D31" s="12" t="s">
        <v>25</v>
      </c>
      <c r="E31" s="12" t="s">
        <v>26</v>
      </c>
      <c r="F31" s="12" t="s">
        <v>27</v>
      </c>
      <c r="G31" s="29" t="s">
        <v>35</v>
      </c>
      <c r="H31" s="30" t="s">
        <v>29</v>
      </c>
      <c r="I31" s="31" t="s">
        <v>36</v>
      </c>
      <c r="J31" s="17">
        <v>7</v>
      </c>
      <c r="K31" s="17">
        <v>0</v>
      </c>
      <c r="L31" s="31" t="s">
        <v>31</v>
      </c>
      <c r="M31" s="31" t="s">
        <v>37</v>
      </c>
      <c r="N31" s="32"/>
      <c r="O31" s="17">
        <v>0</v>
      </c>
      <c r="P31" s="18">
        <f>+IFERROR(O31/J31,0)</f>
        <v>0</v>
      </c>
      <c r="Q31" s="17" t="s">
        <v>38</v>
      </c>
      <c r="R31" s="33" t="s">
        <v>58</v>
      </c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</row>
    <row r="32" spans="1:42" s="20" customFormat="1" x14ac:dyDescent="0.25">
      <c r="A32" s="12">
        <v>202534875</v>
      </c>
      <c r="B32" s="12" t="s">
        <v>23</v>
      </c>
      <c r="C32" s="12" t="s">
        <v>24</v>
      </c>
      <c r="D32" s="12" t="s">
        <v>25</v>
      </c>
      <c r="E32" s="12" t="s">
        <v>26</v>
      </c>
      <c r="F32" s="12" t="s">
        <v>27</v>
      </c>
      <c r="G32" s="29" t="s">
        <v>39</v>
      </c>
      <c r="H32" s="30" t="s">
        <v>29</v>
      </c>
      <c r="I32" s="31" t="s">
        <v>36</v>
      </c>
      <c r="J32" s="17">
        <v>7</v>
      </c>
      <c r="K32" s="17">
        <v>7</v>
      </c>
      <c r="L32" s="31" t="s">
        <v>31</v>
      </c>
      <c r="M32" s="31" t="s">
        <v>40</v>
      </c>
      <c r="N32" s="32">
        <v>45796.665277777778</v>
      </c>
      <c r="O32" s="17">
        <v>4</v>
      </c>
      <c r="P32" s="18">
        <f>+IFERROR(O32/J32,0)</f>
        <v>0.5714285714285714</v>
      </c>
      <c r="Q32" s="17" t="s">
        <v>38</v>
      </c>
      <c r="R32" s="33" t="s">
        <v>58</v>
      </c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</row>
    <row r="33" spans="1:41" s="20" customFormat="1" x14ac:dyDescent="0.25">
      <c r="A33" s="12">
        <v>202534875</v>
      </c>
      <c r="B33" s="12" t="s">
        <v>23</v>
      </c>
      <c r="C33" s="12" t="s">
        <v>24</v>
      </c>
      <c r="D33" s="12" t="s">
        <v>25</v>
      </c>
      <c r="E33" s="12" t="s">
        <v>26</v>
      </c>
      <c r="F33" s="12" t="s">
        <v>27</v>
      </c>
      <c r="G33" s="29" t="s">
        <v>42</v>
      </c>
      <c r="H33" s="30" t="s">
        <v>29</v>
      </c>
      <c r="I33" s="31" t="s">
        <v>43</v>
      </c>
      <c r="J33" s="17">
        <v>7</v>
      </c>
      <c r="K33" s="17">
        <v>0</v>
      </c>
      <c r="L33" s="31" t="s">
        <v>31</v>
      </c>
      <c r="M33" s="31" t="s">
        <v>37</v>
      </c>
      <c r="N33" s="32"/>
      <c r="O33" s="17">
        <v>0</v>
      </c>
      <c r="P33" s="18">
        <f>+IFERROR(O33/J33,0)</f>
        <v>0</v>
      </c>
      <c r="Q33" s="17" t="s">
        <v>38</v>
      </c>
      <c r="R33" s="33" t="s">
        <v>58</v>
      </c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</row>
    <row r="34" spans="1:41" s="20" customFormat="1" x14ac:dyDescent="0.25">
      <c r="A34" s="12">
        <v>202534875</v>
      </c>
      <c r="B34" s="12" t="s">
        <v>23</v>
      </c>
      <c r="C34" s="12" t="s">
        <v>24</v>
      </c>
      <c r="D34" s="12" t="s">
        <v>25</v>
      </c>
      <c r="E34" s="12" t="s">
        <v>26</v>
      </c>
      <c r="F34" s="12" t="s">
        <v>27</v>
      </c>
      <c r="G34" s="29" t="s">
        <v>44</v>
      </c>
      <c r="H34" s="30" t="s">
        <v>29</v>
      </c>
      <c r="I34" s="31" t="s">
        <v>45</v>
      </c>
      <c r="J34" s="17">
        <v>7</v>
      </c>
      <c r="K34" s="17">
        <v>7</v>
      </c>
      <c r="L34" s="31" t="s">
        <v>31</v>
      </c>
      <c r="M34" s="31" t="s">
        <v>46</v>
      </c>
      <c r="N34" s="32">
        <v>45796.661111111112</v>
      </c>
      <c r="O34" s="17">
        <v>4</v>
      </c>
      <c r="P34" s="18">
        <f>+IFERROR(O34/J34,0)</f>
        <v>0.5714285714285714</v>
      </c>
      <c r="Q34" s="17" t="s">
        <v>41</v>
      </c>
      <c r="R34" s="33" t="s">
        <v>59</v>
      </c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</row>
    <row r="35" spans="1:41" x14ac:dyDescent="0.25">
      <c r="R35" s="20"/>
      <c r="S35" s="20"/>
      <c r="T35" s="20"/>
      <c r="U35" s="20"/>
      <c r="V35" s="20"/>
      <c r="W35" s="20"/>
      <c r="X35" s="20"/>
      <c r="Y35" s="20"/>
      <c r="AD35"/>
    </row>
  </sheetData>
  <mergeCells count="10">
    <mergeCell ref="AA19:AD19"/>
    <mergeCell ref="AE19:AH19"/>
    <mergeCell ref="AI19:AL19"/>
    <mergeCell ref="AM19:AP19"/>
    <mergeCell ref="O10:R10"/>
    <mergeCell ref="S10:V10"/>
    <mergeCell ref="W10:Z10"/>
    <mergeCell ref="O19:R19"/>
    <mergeCell ref="S19:V19"/>
    <mergeCell ref="W19:Z1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84B78-AC18-4BD3-845B-579E8A9959BD}">
  <dimension ref="A1:AT37"/>
  <sheetViews>
    <sheetView showGridLines="0" zoomScaleNormal="100" workbookViewId="0"/>
  </sheetViews>
  <sheetFormatPr defaultRowHeight="15" x14ac:dyDescent="0.25"/>
  <cols>
    <col min="1" max="1" width="11.28515625" bestFit="1" customWidth="1"/>
    <col min="4" max="4" width="11.28515625" customWidth="1"/>
    <col min="10" max="10" width="11.28515625" bestFit="1" customWidth="1"/>
    <col min="11" max="11" width="9.28515625" bestFit="1" customWidth="1"/>
    <col min="14" max="14" width="14.5703125" customWidth="1"/>
    <col min="15" max="15" width="10" style="2" customWidth="1"/>
    <col min="16" max="16" width="10.7109375" style="2" customWidth="1"/>
    <col min="17" max="17" width="9.7109375" style="2" customWidth="1"/>
    <col min="18" max="18" width="21.140625" style="2" customWidth="1"/>
    <col min="19" max="19" width="8" style="2" bestFit="1" customWidth="1"/>
    <col min="20" max="20" width="9.85546875" style="2" customWidth="1"/>
    <col min="21" max="21" width="8.85546875" style="2" bestFit="1" customWidth="1"/>
    <col min="22" max="22" width="10" style="2" customWidth="1"/>
    <col min="23" max="23" width="8" style="2" bestFit="1" customWidth="1"/>
    <col min="24" max="24" width="9.5703125" style="2" customWidth="1"/>
    <col min="25" max="25" width="8.85546875" style="2" bestFit="1" customWidth="1"/>
    <col min="26" max="26" width="9.28515625" style="2" customWidth="1"/>
    <col min="27" max="27" width="8" style="2" bestFit="1" customWidth="1"/>
    <col min="28" max="29" width="8.85546875" style="2" bestFit="1" customWidth="1"/>
    <col min="30" max="30" width="9.7109375" style="2" customWidth="1"/>
  </cols>
  <sheetData>
    <row r="1" spans="1:42" ht="30" x14ac:dyDescent="0.25">
      <c r="A1" s="1" t="s">
        <v>67</v>
      </c>
      <c r="T1" s="20"/>
    </row>
    <row r="2" spans="1:42" x14ac:dyDescent="0.25">
      <c r="P2" s="34"/>
      <c r="T2" s="20"/>
    </row>
    <row r="3" spans="1:42" x14ac:dyDescent="0.25">
      <c r="A3" s="35" t="s">
        <v>60</v>
      </c>
      <c r="B3" s="36"/>
      <c r="C3" s="36"/>
      <c r="D3" s="36"/>
      <c r="E3" s="36"/>
      <c r="F3" s="36"/>
      <c r="G3" s="36"/>
      <c r="H3" s="36"/>
      <c r="I3" s="36"/>
      <c r="J3" s="36"/>
      <c r="K3" s="37"/>
      <c r="L3" s="37"/>
      <c r="M3" s="37"/>
      <c r="N3" s="37"/>
      <c r="O3" s="38"/>
      <c r="P3" s="38"/>
      <c r="Q3" s="38"/>
      <c r="R3" s="38"/>
      <c r="S3" s="38"/>
      <c r="T3" s="39"/>
      <c r="U3" s="38"/>
      <c r="V3" s="38"/>
      <c r="W3" s="38"/>
      <c r="X3" s="38"/>
      <c r="Y3" s="38"/>
      <c r="Z3" s="38"/>
      <c r="AA3" s="38"/>
    </row>
    <row r="4" spans="1:42" x14ac:dyDescent="0.25">
      <c r="T4" s="20"/>
    </row>
    <row r="5" spans="1:42" ht="45" x14ac:dyDescent="0.25">
      <c r="A5" s="8" t="s">
        <v>6</v>
      </c>
      <c r="B5" s="8" t="s">
        <v>7</v>
      </c>
      <c r="C5" s="8" t="s">
        <v>8</v>
      </c>
      <c r="D5" s="8" t="s">
        <v>9</v>
      </c>
      <c r="E5" s="8" t="s">
        <v>10</v>
      </c>
      <c r="F5" s="8" t="s">
        <v>11</v>
      </c>
      <c r="G5" s="8" t="s">
        <v>61</v>
      </c>
      <c r="H5" s="8" t="s">
        <v>62</v>
      </c>
      <c r="I5" s="8" t="s">
        <v>63</v>
      </c>
      <c r="J5" s="8" t="s">
        <v>64</v>
      </c>
      <c r="K5" s="8" t="s">
        <v>65</v>
      </c>
      <c r="T5" s="20"/>
    </row>
    <row r="6" spans="1:42" x14ac:dyDescent="0.25">
      <c r="A6" s="12">
        <v>202534875</v>
      </c>
      <c r="B6" s="12" t="s">
        <v>23</v>
      </c>
      <c r="C6" s="12" t="s">
        <v>24</v>
      </c>
      <c r="D6" s="12" t="s">
        <v>25</v>
      </c>
      <c r="E6" s="12" t="s">
        <v>26</v>
      </c>
      <c r="F6" s="12" t="s">
        <v>27</v>
      </c>
      <c r="G6" s="29" t="s">
        <v>66</v>
      </c>
      <c r="H6" s="17">
        <v>5</v>
      </c>
      <c r="I6" s="17">
        <v>7</v>
      </c>
      <c r="J6" s="17">
        <v>3</v>
      </c>
      <c r="K6" s="18">
        <f>12/35</f>
        <v>0.34285714285714286</v>
      </c>
      <c r="T6" s="20"/>
    </row>
    <row r="7" spans="1:42" x14ac:dyDescent="0.25">
      <c r="T7" s="20"/>
    </row>
    <row r="8" spans="1:42" x14ac:dyDescent="0.25">
      <c r="A8" s="35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7"/>
      <c r="L8" s="37"/>
      <c r="M8" s="37"/>
      <c r="N8" s="37"/>
      <c r="O8" s="38"/>
      <c r="P8" s="38"/>
      <c r="Q8" s="38"/>
      <c r="R8" s="38"/>
      <c r="S8" s="38"/>
      <c r="T8" s="39"/>
      <c r="U8" s="38"/>
      <c r="V8" s="38"/>
      <c r="W8" s="38"/>
      <c r="X8" s="38"/>
      <c r="Y8" s="38"/>
      <c r="Z8" s="38"/>
      <c r="AA8" s="38"/>
    </row>
    <row r="9" spans="1:42" s="3" customFormat="1" x14ac:dyDescent="0.25"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42" s="6" customFormat="1" ht="15" customHeight="1" x14ac:dyDescent="0.25">
      <c r="A10" s="5" t="s">
        <v>68</v>
      </c>
      <c r="O10" s="42" t="s">
        <v>38</v>
      </c>
      <c r="P10" s="42"/>
      <c r="Q10" s="42"/>
      <c r="R10" s="42"/>
      <c r="S10" s="42" t="s">
        <v>41</v>
      </c>
      <c r="T10" s="42"/>
      <c r="U10" s="42"/>
      <c r="V10" s="42"/>
      <c r="W10" s="43" t="s">
        <v>34</v>
      </c>
      <c r="X10" s="44"/>
      <c r="Y10" s="44"/>
      <c r="Z10" s="45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</row>
    <row r="11" spans="1:42" s="11" customFormat="1" ht="45" x14ac:dyDescent="0.25">
      <c r="A11" s="8" t="s">
        <v>6</v>
      </c>
      <c r="B11" s="8" t="s">
        <v>7</v>
      </c>
      <c r="C11" s="8" t="s">
        <v>8</v>
      </c>
      <c r="D11" s="8" t="s">
        <v>9</v>
      </c>
      <c r="E11" s="8" t="s">
        <v>10</v>
      </c>
      <c r="F11" s="8" t="s">
        <v>11</v>
      </c>
      <c r="G11" s="9" t="s">
        <v>12</v>
      </c>
      <c r="H11" s="9" t="s">
        <v>13</v>
      </c>
      <c r="I11" s="9" t="s">
        <v>14</v>
      </c>
      <c r="J11" s="9" t="s">
        <v>15</v>
      </c>
      <c r="K11" s="9" t="s">
        <v>16</v>
      </c>
      <c r="L11" s="9" t="s">
        <v>17</v>
      </c>
      <c r="M11" s="9" t="s">
        <v>18</v>
      </c>
      <c r="N11" s="9" t="s">
        <v>19</v>
      </c>
      <c r="O11" s="10" t="s">
        <v>15</v>
      </c>
      <c r="P11" s="10" t="s">
        <v>20</v>
      </c>
      <c r="Q11" s="10" t="s">
        <v>21</v>
      </c>
      <c r="R11" s="10" t="s">
        <v>69</v>
      </c>
      <c r="S11" s="10" t="s">
        <v>15</v>
      </c>
      <c r="T11" s="10" t="s">
        <v>20</v>
      </c>
      <c r="U11" s="10" t="s">
        <v>21</v>
      </c>
      <c r="V11" s="10" t="s">
        <v>69</v>
      </c>
      <c r="W11" s="10" t="s">
        <v>15</v>
      </c>
      <c r="X11" s="10" t="s">
        <v>20</v>
      </c>
      <c r="Y11" s="10" t="s">
        <v>21</v>
      </c>
      <c r="Z11" s="10" t="s">
        <v>69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 spans="1:42" s="20" customFormat="1" x14ac:dyDescent="0.25">
      <c r="A12" s="12">
        <v>202534875</v>
      </c>
      <c r="B12" s="12" t="s">
        <v>23</v>
      </c>
      <c r="C12" s="12" t="s">
        <v>24</v>
      </c>
      <c r="D12" s="12" t="s">
        <v>25</v>
      </c>
      <c r="E12" s="12" t="s">
        <v>26</v>
      </c>
      <c r="F12" s="12" t="s">
        <v>27</v>
      </c>
      <c r="G12" s="13" t="s">
        <v>28</v>
      </c>
      <c r="H12" s="14" t="s">
        <v>29</v>
      </c>
      <c r="I12" s="13" t="s">
        <v>30</v>
      </c>
      <c r="J12" s="15">
        <v>7</v>
      </c>
      <c r="K12" s="15">
        <v>7</v>
      </c>
      <c r="L12" s="13" t="s">
        <v>31</v>
      </c>
      <c r="M12" s="13" t="s">
        <v>32</v>
      </c>
      <c r="N12" s="16">
        <v>45796.591666666667</v>
      </c>
      <c r="O12" s="17">
        <v>3</v>
      </c>
      <c r="P12" s="17">
        <v>0</v>
      </c>
      <c r="Q12" s="18">
        <f>+IFERROR(P12/O12,0)</f>
        <v>0</v>
      </c>
      <c r="R12" s="19">
        <f t="shared" ref="R12:R16" si="0">IFERROR(0/P12,0)</f>
        <v>0</v>
      </c>
      <c r="S12" s="17">
        <v>4</v>
      </c>
      <c r="T12" s="17">
        <v>4</v>
      </c>
      <c r="U12" s="18">
        <f>+IFERROR(T12/S12,0)</f>
        <v>1</v>
      </c>
      <c r="V12" s="19">
        <f>IFERROR(400/T12,0)</f>
        <v>100</v>
      </c>
      <c r="W12" s="17">
        <v>0</v>
      </c>
      <c r="X12" s="17">
        <v>0</v>
      </c>
      <c r="Y12" s="18">
        <f>+IFERROR(X12/W12,0)</f>
        <v>0</v>
      </c>
      <c r="Z12" s="19">
        <f t="shared" ref="Z12:Z14" si="1">IFERROR(0/X12,0)</f>
        <v>0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 spans="1:42" s="20" customFormat="1" x14ac:dyDescent="0.25">
      <c r="A13" s="12">
        <v>202534875</v>
      </c>
      <c r="B13" s="12" t="s">
        <v>23</v>
      </c>
      <c r="C13" s="12" t="s">
        <v>24</v>
      </c>
      <c r="D13" s="12" t="s">
        <v>25</v>
      </c>
      <c r="E13" s="12" t="s">
        <v>26</v>
      </c>
      <c r="F13" s="12" t="s">
        <v>27</v>
      </c>
      <c r="G13" s="13" t="s">
        <v>35</v>
      </c>
      <c r="H13" s="14" t="s">
        <v>29</v>
      </c>
      <c r="I13" s="13" t="s">
        <v>36</v>
      </c>
      <c r="J13" s="15">
        <v>7</v>
      </c>
      <c r="K13" s="15">
        <v>0</v>
      </c>
      <c r="L13" s="13" t="s">
        <v>31</v>
      </c>
      <c r="M13" s="13" t="s">
        <v>37</v>
      </c>
      <c r="N13" s="16"/>
      <c r="O13" s="17">
        <v>7</v>
      </c>
      <c r="P13" s="17">
        <v>0</v>
      </c>
      <c r="Q13" s="18">
        <f>+IFERROR(P13/O13,0)</f>
        <v>0</v>
      </c>
      <c r="R13" s="19">
        <f t="shared" si="0"/>
        <v>0</v>
      </c>
      <c r="S13" s="17">
        <v>0</v>
      </c>
      <c r="T13" s="17">
        <v>0</v>
      </c>
      <c r="U13" s="18">
        <f>+IFERROR(T13/S13,0)</f>
        <v>0</v>
      </c>
      <c r="V13" s="19">
        <f>IFERROR(0/T13,0)</f>
        <v>0</v>
      </c>
      <c r="W13" s="17">
        <v>0</v>
      </c>
      <c r="X13" s="17">
        <v>0</v>
      </c>
      <c r="Y13" s="18">
        <f>+IFERROR(X13/W13,0)</f>
        <v>0</v>
      </c>
      <c r="Z13" s="19">
        <f t="shared" si="1"/>
        <v>0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 spans="1:42" s="20" customFormat="1" x14ac:dyDescent="0.25">
      <c r="A14" s="12">
        <v>202534875</v>
      </c>
      <c r="B14" s="12" t="s">
        <v>23</v>
      </c>
      <c r="C14" s="12" t="s">
        <v>24</v>
      </c>
      <c r="D14" s="12" t="s">
        <v>25</v>
      </c>
      <c r="E14" s="12" t="s">
        <v>26</v>
      </c>
      <c r="F14" s="12" t="s">
        <v>27</v>
      </c>
      <c r="G14" s="13" t="s">
        <v>39</v>
      </c>
      <c r="H14" s="14" t="s">
        <v>29</v>
      </c>
      <c r="I14" s="13" t="s">
        <v>36</v>
      </c>
      <c r="J14" s="15">
        <v>7</v>
      </c>
      <c r="K14" s="15">
        <v>7</v>
      </c>
      <c r="L14" s="13" t="s">
        <v>31</v>
      </c>
      <c r="M14" s="13" t="s">
        <v>40</v>
      </c>
      <c r="N14" s="16">
        <v>45796.665277777778</v>
      </c>
      <c r="O14" s="17">
        <v>3</v>
      </c>
      <c r="P14" s="17">
        <v>0</v>
      </c>
      <c r="Q14" s="18">
        <f>+IFERROR(P14/O14,0)</f>
        <v>0</v>
      </c>
      <c r="R14" s="19">
        <f t="shared" si="0"/>
        <v>0</v>
      </c>
      <c r="S14" s="17">
        <v>4</v>
      </c>
      <c r="T14" s="17">
        <v>4</v>
      </c>
      <c r="U14" s="18">
        <f>+IFERROR(T14/S14,0)</f>
        <v>1</v>
      </c>
      <c r="V14" s="19">
        <f>IFERROR(400/T14,0)</f>
        <v>100</v>
      </c>
      <c r="W14" s="17">
        <v>0</v>
      </c>
      <c r="X14" s="17">
        <v>0</v>
      </c>
      <c r="Y14" s="18">
        <f>+IFERROR(X14/W14,0)</f>
        <v>0</v>
      </c>
      <c r="Z14" s="19">
        <f t="shared" si="1"/>
        <v>0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 spans="1:42" s="20" customFormat="1" x14ac:dyDescent="0.25">
      <c r="A15" s="12">
        <v>202534875</v>
      </c>
      <c r="B15" s="12" t="s">
        <v>23</v>
      </c>
      <c r="C15" s="12" t="s">
        <v>24</v>
      </c>
      <c r="D15" s="12" t="s">
        <v>25</v>
      </c>
      <c r="E15" s="12" t="s">
        <v>26</v>
      </c>
      <c r="F15" s="12" t="s">
        <v>27</v>
      </c>
      <c r="G15" s="13" t="s">
        <v>42</v>
      </c>
      <c r="H15" s="14" t="s">
        <v>29</v>
      </c>
      <c r="I15" s="13" t="s">
        <v>43</v>
      </c>
      <c r="J15" s="15">
        <v>7</v>
      </c>
      <c r="K15" s="15">
        <v>0</v>
      </c>
      <c r="L15" s="13" t="s">
        <v>31</v>
      </c>
      <c r="M15" s="13" t="s">
        <v>37</v>
      </c>
      <c r="N15" s="16"/>
      <c r="O15" s="17">
        <v>7</v>
      </c>
      <c r="P15" s="17">
        <v>0</v>
      </c>
      <c r="Q15" s="18">
        <f>+IFERROR(P15/O15,0)</f>
        <v>0</v>
      </c>
      <c r="R15" s="19">
        <f t="shared" si="0"/>
        <v>0</v>
      </c>
      <c r="S15" s="17">
        <v>0</v>
      </c>
      <c r="T15" s="17">
        <v>0</v>
      </c>
      <c r="U15" s="18">
        <f>+IFERROR(T15/S15,0)</f>
        <v>0</v>
      </c>
      <c r="V15" s="19">
        <f>IFERROR(0/T15,0)</f>
        <v>0</v>
      </c>
      <c r="W15" s="17">
        <v>0</v>
      </c>
      <c r="X15" s="17">
        <v>0</v>
      </c>
      <c r="Y15" s="18">
        <f>+IFERROR(X15/W15,0)</f>
        <v>0</v>
      </c>
      <c r="Z15" s="19">
        <f>IFERROR(0/X15,0)</f>
        <v>0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 spans="1:42" s="20" customFormat="1" x14ac:dyDescent="0.25">
      <c r="A16" s="12">
        <v>202534875</v>
      </c>
      <c r="B16" s="12" t="s">
        <v>23</v>
      </c>
      <c r="C16" s="12" t="s">
        <v>24</v>
      </c>
      <c r="D16" s="12" t="s">
        <v>25</v>
      </c>
      <c r="E16" s="12" t="s">
        <v>26</v>
      </c>
      <c r="F16" s="12" t="s">
        <v>27</v>
      </c>
      <c r="G16" s="13" t="s">
        <v>44</v>
      </c>
      <c r="H16" s="14" t="s">
        <v>29</v>
      </c>
      <c r="I16" s="13" t="s">
        <v>45</v>
      </c>
      <c r="J16" s="15">
        <v>7</v>
      </c>
      <c r="K16" s="15">
        <v>7</v>
      </c>
      <c r="L16" s="13" t="s">
        <v>31</v>
      </c>
      <c r="M16" s="13" t="s">
        <v>46</v>
      </c>
      <c r="N16" s="16">
        <v>45796.661111111112</v>
      </c>
      <c r="O16" s="17">
        <v>2</v>
      </c>
      <c r="P16" s="17">
        <v>0</v>
      </c>
      <c r="Q16" s="18">
        <f>+IFERROR(P16/O16,0)</f>
        <v>0</v>
      </c>
      <c r="R16" s="19">
        <f t="shared" si="0"/>
        <v>0</v>
      </c>
      <c r="S16" s="17">
        <v>3</v>
      </c>
      <c r="T16" s="17">
        <v>3</v>
      </c>
      <c r="U16" s="18">
        <f>+IFERROR(T16/S16,0)</f>
        <v>1</v>
      </c>
      <c r="V16" s="19">
        <f>IFERROR(300/T16,0)</f>
        <v>100</v>
      </c>
      <c r="W16" s="17">
        <v>2</v>
      </c>
      <c r="X16" s="17">
        <v>1</v>
      </c>
      <c r="Y16" s="18">
        <f>+IFERROR(X16/W16,0)</f>
        <v>0.5</v>
      </c>
      <c r="Z16" s="19">
        <f>IFERROR(75/X16,0)</f>
        <v>75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</row>
    <row r="17" spans="1:46" x14ac:dyDescent="0.25">
      <c r="T17" s="20"/>
    </row>
    <row r="18" spans="1:46" s="3" customFormat="1" x14ac:dyDescent="0.25"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46" s="6" customFormat="1" ht="15" customHeight="1" x14ac:dyDescent="0.25">
      <c r="A19" s="5" t="s">
        <v>70</v>
      </c>
      <c r="O19" s="42" t="s">
        <v>58</v>
      </c>
      <c r="P19" s="42"/>
      <c r="Q19" s="42"/>
      <c r="R19" s="42"/>
      <c r="S19" s="42" t="s">
        <v>71</v>
      </c>
      <c r="T19" s="42"/>
      <c r="U19" s="42"/>
      <c r="V19" s="42"/>
      <c r="W19" s="43" t="s">
        <v>57</v>
      </c>
      <c r="X19" s="44"/>
      <c r="Y19" s="44"/>
      <c r="Z19" s="45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</row>
    <row r="20" spans="1:46" s="11" customFormat="1" ht="45" x14ac:dyDescent="0.25">
      <c r="A20" s="8" t="s">
        <v>6</v>
      </c>
      <c r="B20" s="8" t="s">
        <v>7</v>
      </c>
      <c r="C20" s="8" t="s">
        <v>8</v>
      </c>
      <c r="D20" s="8" t="s">
        <v>9</v>
      </c>
      <c r="E20" s="8" t="s">
        <v>10</v>
      </c>
      <c r="F20" s="8" t="s">
        <v>11</v>
      </c>
      <c r="G20" s="9" t="s">
        <v>12</v>
      </c>
      <c r="H20" s="9" t="s">
        <v>13</v>
      </c>
      <c r="I20" s="9" t="s">
        <v>14</v>
      </c>
      <c r="J20" s="9" t="s">
        <v>15</v>
      </c>
      <c r="K20" s="9" t="s">
        <v>16</v>
      </c>
      <c r="L20" s="9" t="s">
        <v>17</v>
      </c>
      <c r="M20" s="9" t="s">
        <v>18</v>
      </c>
      <c r="N20" s="9" t="s">
        <v>19</v>
      </c>
      <c r="O20" s="10" t="s">
        <v>15</v>
      </c>
      <c r="P20" s="10" t="s">
        <v>20</v>
      </c>
      <c r="Q20" s="10" t="s">
        <v>21</v>
      </c>
      <c r="R20" s="10" t="s">
        <v>69</v>
      </c>
      <c r="S20" s="10" t="s">
        <v>15</v>
      </c>
      <c r="T20" s="10" t="s">
        <v>20</v>
      </c>
      <c r="U20" s="10" t="s">
        <v>21</v>
      </c>
      <c r="V20" s="10" t="s">
        <v>69</v>
      </c>
      <c r="W20" s="10" t="s">
        <v>15</v>
      </c>
      <c r="X20" s="10" t="s">
        <v>20</v>
      </c>
      <c r="Y20" s="10" t="s">
        <v>21</v>
      </c>
      <c r="Z20" s="10" t="s">
        <v>69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</row>
    <row r="21" spans="1:46" s="20" customFormat="1" x14ac:dyDescent="0.25">
      <c r="A21" s="12">
        <v>202534875</v>
      </c>
      <c r="B21" s="12" t="s">
        <v>23</v>
      </c>
      <c r="C21" s="12" t="s">
        <v>24</v>
      </c>
      <c r="D21" s="12" t="s">
        <v>25</v>
      </c>
      <c r="E21" s="12" t="s">
        <v>26</v>
      </c>
      <c r="F21" s="12" t="s">
        <v>27</v>
      </c>
      <c r="G21" s="13" t="s">
        <v>28</v>
      </c>
      <c r="H21" s="14" t="s">
        <v>29</v>
      </c>
      <c r="I21" s="13" t="s">
        <v>30</v>
      </c>
      <c r="J21" s="15">
        <v>7</v>
      </c>
      <c r="K21" s="15">
        <v>7</v>
      </c>
      <c r="L21" s="13" t="s">
        <v>31</v>
      </c>
      <c r="M21" s="13" t="s">
        <v>32</v>
      </c>
      <c r="N21" s="16">
        <v>45796.591666666667</v>
      </c>
      <c r="O21" s="17">
        <v>3</v>
      </c>
      <c r="P21" s="17">
        <v>0</v>
      </c>
      <c r="Q21" s="18">
        <f>+IFERROR(P21/O21,0)</f>
        <v>0</v>
      </c>
      <c r="R21" s="19">
        <f t="shared" ref="R21:R25" si="2">IFERROR(0/P21,0)</f>
        <v>0</v>
      </c>
      <c r="S21" s="17">
        <v>4</v>
      </c>
      <c r="T21" s="17">
        <v>4</v>
      </c>
      <c r="U21" s="18">
        <f>+IFERROR(T21/S21,0)</f>
        <v>1</v>
      </c>
      <c r="V21" s="19">
        <f>IFERROR(400/T21,0)</f>
        <v>100</v>
      </c>
      <c r="W21" s="17">
        <v>0</v>
      </c>
      <c r="X21" s="17">
        <v>0</v>
      </c>
      <c r="Y21" s="18">
        <f>+IFERROR(X21/W21,0)</f>
        <v>0</v>
      </c>
      <c r="Z21" s="19">
        <f t="shared" ref="Z21:Z23" si="3">IFERROR(0/X21,0)</f>
        <v>0</v>
      </c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</row>
    <row r="22" spans="1:46" s="20" customFormat="1" x14ac:dyDescent="0.25">
      <c r="A22" s="12">
        <v>202534875</v>
      </c>
      <c r="B22" s="12" t="s">
        <v>23</v>
      </c>
      <c r="C22" s="12" t="s">
        <v>24</v>
      </c>
      <c r="D22" s="12" t="s">
        <v>25</v>
      </c>
      <c r="E22" s="12" t="s">
        <v>26</v>
      </c>
      <c r="F22" s="12" t="s">
        <v>27</v>
      </c>
      <c r="G22" s="13" t="s">
        <v>35</v>
      </c>
      <c r="H22" s="14" t="s">
        <v>29</v>
      </c>
      <c r="I22" s="13" t="s">
        <v>36</v>
      </c>
      <c r="J22" s="15">
        <v>7</v>
      </c>
      <c r="K22" s="15">
        <v>0</v>
      </c>
      <c r="L22" s="13" t="s">
        <v>31</v>
      </c>
      <c r="M22" s="13" t="s">
        <v>37</v>
      </c>
      <c r="N22" s="16"/>
      <c r="O22" s="17">
        <v>7</v>
      </c>
      <c r="P22" s="17">
        <v>0</v>
      </c>
      <c r="Q22" s="18">
        <f>+IFERROR(P22/O22,0)</f>
        <v>0</v>
      </c>
      <c r="R22" s="19">
        <f t="shared" si="2"/>
        <v>0</v>
      </c>
      <c r="S22" s="17">
        <v>0</v>
      </c>
      <c r="T22" s="17">
        <v>0</v>
      </c>
      <c r="U22" s="18">
        <f>+IFERROR(T22/S22,0)</f>
        <v>0</v>
      </c>
      <c r="V22" s="19">
        <f>IFERROR(0/T22,0)</f>
        <v>0</v>
      </c>
      <c r="W22" s="17">
        <v>0</v>
      </c>
      <c r="X22" s="17">
        <v>0</v>
      </c>
      <c r="Y22" s="18">
        <f>+IFERROR(X22/W22,0)</f>
        <v>0</v>
      </c>
      <c r="Z22" s="19">
        <f t="shared" si="3"/>
        <v>0</v>
      </c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</row>
    <row r="23" spans="1:46" s="20" customFormat="1" x14ac:dyDescent="0.25">
      <c r="A23" s="12">
        <v>202534875</v>
      </c>
      <c r="B23" s="12" t="s">
        <v>23</v>
      </c>
      <c r="C23" s="12" t="s">
        <v>24</v>
      </c>
      <c r="D23" s="12" t="s">
        <v>25</v>
      </c>
      <c r="E23" s="12" t="s">
        <v>26</v>
      </c>
      <c r="F23" s="12" t="s">
        <v>27</v>
      </c>
      <c r="G23" s="13" t="s">
        <v>39</v>
      </c>
      <c r="H23" s="14" t="s">
        <v>29</v>
      </c>
      <c r="I23" s="13" t="s">
        <v>36</v>
      </c>
      <c r="J23" s="15">
        <v>7</v>
      </c>
      <c r="K23" s="15">
        <v>7</v>
      </c>
      <c r="L23" s="13" t="s">
        <v>31</v>
      </c>
      <c r="M23" s="13" t="s">
        <v>40</v>
      </c>
      <c r="N23" s="16">
        <v>45796.665277777778</v>
      </c>
      <c r="O23" s="17">
        <v>3</v>
      </c>
      <c r="P23" s="17">
        <v>0</v>
      </c>
      <c r="Q23" s="18">
        <f>+IFERROR(P23/O23,0)</f>
        <v>0</v>
      </c>
      <c r="R23" s="19">
        <f t="shared" si="2"/>
        <v>0</v>
      </c>
      <c r="S23" s="17">
        <v>4</v>
      </c>
      <c r="T23" s="17">
        <v>4</v>
      </c>
      <c r="U23" s="18">
        <f>+IFERROR(T23/S23,0)</f>
        <v>1</v>
      </c>
      <c r="V23" s="19">
        <f>IFERROR(400/T23,0)</f>
        <v>100</v>
      </c>
      <c r="W23" s="17">
        <v>0</v>
      </c>
      <c r="X23" s="17">
        <v>0</v>
      </c>
      <c r="Y23" s="18">
        <f>+IFERROR(X23/W23,0)</f>
        <v>0</v>
      </c>
      <c r="Z23" s="19">
        <f t="shared" si="3"/>
        <v>0</v>
      </c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</row>
    <row r="24" spans="1:46" s="20" customFormat="1" x14ac:dyDescent="0.25">
      <c r="A24" s="12">
        <v>202534875</v>
      </c>
      <c r="B24" s="12" t="s">
        <v>23</v>
      </c>
      <c r="C24" s="12" t="s">
        <v>24</v>
      </c>
      <c r="D24" s="12" t="s">
        <v>25</v>
      </c>
      <c r="E24" s="12" t="s">
        <v>26</v>
      </c>
      <c r="F24" s="12" t="s">
        <v>27</v>
      </c>
      <c r="G24" s="13" t="s">
        <v>42</v>
      </c>
      <c r="H24" s="14" t="s">
        <v>29</v>
      </c>
      <c r="I24" s="13" t="s">
        <v>43</v>
      </c>
      <c r="J24" s="15">
        <v>7</v>
      </c>
      <c r="K24" s="15">
        <v>0</v>
      </c>
      <c r="L24" s="13" t="s">
        <v>31</v>
      </c>
      <c r="M24" s="13" t="s">
        <v>37</v>
      </c>
      <c r="N24" s="16"/>
      <c r="O24" s="17">
        <v>7</v>
      </c>
      <c r="P24" s="17">
        <v>0</v>
      </c>
      <c r="Q24" s="18">
        <f>+IFERROR(P24/O24,0)</f>
        <v>0</v>
      </c>
      <c r="R24" s="19">
        <f t="shared" si="2"/>
        <v>0</v>
      </c>
      <c r="S24" s="17">
        <v>0</v>
      </c>
      <c r="T24" s="17">
        <v>0</v>
      </c>
      <c r="U24" s="18">
        <f>+IFERROR(T24/S24,0)</f>
        <v>0</v>
      </c>
      <c r="V24" s="19">
        <f>IFERROR(0/T24,0)</f>
        <v>0</v>
      </c>
      <c r="W24" s="17">
        <v>0</v>
      </c>
      <c r="X24" s="17">
        <v>0</v>
      </c>
      <c r="Y24" s="18">
        <f>+IFERROR(X24/W24,0)</f>
        <v>0</v>
      </c>
      <c r="Z24" s="19">
        <f>IFERROR(0/X24,0)</f>
        <v>0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</row>
    <row r="25" spans="1:46" s="20" customFormat="1" x14ac:dyDescent="0.25">
      <c r="A25" s="12">
        <v>202534875</v>
      </c>
      <c r="B25" s="12" t="s">
        <v>23</v>
      </c>
      <c r="C25" s="12" t="s">
        <v>24</v>
      </c>
      <c r="D25" s="12" t="s">
        <v>25</v>
      </c>
      <c r="E25" s="12" t="s">
        <v>26</v>
      </c>
      <c r="F25" s="12" t="s">
        <v>27</v>
      </c>
      <c r="G25" s="13" t="s">
        <v>44</v>
      </c>
      <c r="H25" s="14" t="s">
        <v>29</v>
      </c>
      <c r="I25" s="13" t="s">
        <v>45</v>
      </c>
      <c r="J25" s="15">
        <v>7</v>
      </c>
      <c r="K25" s="15">
        <v>7</v>
      </c>
      <c r="L25" s="13" t="s">
        <v>31</v>
      </c>
      <c r="M25" s="13" t="s">
        <v>46</v>
      </c>
      <c r="N25" s="16">
        <v>45796.661111111112</v>
      </c>
      <c r="O25" s="17">
        <v>2</v>
      </c>
      <c r="P25" s="17">
        <v>0</v>
      </c>
      <c r="Q25" s="18">
        <f>+IFERROR(P25/O25,0)</f>
        <v>0</v>
      </c>
      <c r="R25" s="19">
        <f t="shared" si="2"/>
        <v>0</v>
      </c>
      <c r="S25" s="17">
        <v>3</v>
      </c>
      <c r="T25" s="17">
        <v>3</v>
      </c>
      <c r="U25" s="18">
        <f>+IFERROR(T25/S25,0)</f>
        <v>1</v>
      </c>
      <c r="V25" s="19">
        <f>IFERROR(300/T25,0)</f>
        <v>100</v>
      </c>
      <c r="W25" s="17">
        <v>2</v>
      </c>
      <c r="X25" s="17">
        <v>1</v>
      </c>
      <c r="Y25" s="18">
        <f>+IFERROR(X25/W25,0)</f>
        <v>0.5</v>
      </c>
      <c r="Z25" s="19">
        <f>IFERROR(75/X25,0)</f>
        <v>75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</row>
    <row r="26" spans="1:46" x14ac:dyDescent="0.25">
      <c r="T26" s="20"/>
    </row>
    <row r="27" spans="1:46" s="3" customFormat="1" x14ac:dyDescent="0.25"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46" s="6" customFormat="1" ht="15" customHeight="1" x14ac:dyDescent="0.25">
      <c r="A28" s="5" t="s">
        <v>72</v>
      </c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</row>
    <row r="29" spans="1:46" s="11" customFormat="1" ht="56.25" x14ac:dyDescent="0.25">
      <c r="A29" s="8" t="s">
        <v>6</v>
      </c>
      <c r="B29" s="8" t="s">
        <v>7</v>
      </c>
      <c r="C29" s="8" t="s">
        <v>8</v>
      </c>
      <c r="D29" s="8" t="s">
        <v>9</v>
      </c>
      <c r="E29" s="8" t="s">
        <v>10</v>
      </c>
      <c r="F29" s="8" t="s">
        <v>11</v>
      </c>
      <c r="G29" s="10" t="s">
        <v>73</v>
      </c>
      <c r="H29" s="10" t="s">
        <v>74</v>
      </c>
      <c r="I29" s="10" t="s">
        <v>75</v>
      </c>
      <c r="J29" s="10" t="s">
        <v>76</v>
      </c>
      <c r="K29" s="10" t="s">
        <v>77</v>
      </c>
      <c r="L29" s="10" t="s">
        <v>101</v>
      </c>
      <c r="M29" s="10" t="s">
        <v>78</v>
      </c>
      <c r="N29" s="10" t="s">
        <v>79</v>
      </c>
      <c r="O29" s="10" t="s">
        <v>80</v>
      </c>
      <c r="P29" s="10" t="s">
        <v>17</v>
      </c>
      <c r="Q29" s="10" t="s">
        <v>81</v>
      </c>
      <c r="R29" s="10" t="s">
        <v>82</v>
      </c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s="20" customFormat="1" x14ac:dyDescent="0.25">
      <c r="A30" s="12">
        <v>202534875</v>
      </c>
      <c r="B30" s="12" t="s">
        <v>23</v>
      </c>
      <c r="C30" s="12" t="s">
        <v>24</v>
      </c>
      <c r="D30" s="12" t="s">
        <v>25</v>
      </c>
      <c r="E30" s="12" t="s">
        <v>26</v>
      </c>
      <c r="F30" s="12" t="s">
        <v>27</v>
      </c>
      <c r="G30" s="31">
        <v>11</v>
      </c>
      <c r="H30" s="30" t="s">
        <v>83</v>
      </c>
      <c r="I30" s="30" t="s">
        <v>3</v>
      </c>
      <c r="J30" s="30" t="s">
        <v>49</v>
      </c>
      <c r="K30" s="30" t="s">
        <v>84</v>
      </c>
      <c r="L30" s="17">
        <v>5</v>
      </c>
      <c r="M30" s="17">
        <v>2</v>
      </c>
      <c r="N30" s="17">
        <v>1</v>
      </c>
      <c r="O30" s="17">
        <v>2</v>
      </c>
      <c r="P30" s="31" t="s">
        <v>85</v>
      </c>
      <c r="Q30" s="31" t="s">
        <v>85</v>
      </c>
      <c r="R30" s="18">
        <f t="shared" ref="R30:R36" si="4">+IFERROR(M30/L30,0)</f>
        <v>0.4</v>
      </c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s="20" customFormat="1" x14ac:dyDescent="0.25">
      <c r="A31" s="12">
        <v>202534875</v>
      </c>
      <c r="B31" s="12" t="s">
        <v>23</v>
      </c>
      <c r="C31" s="12" t="s">
        <v>24</v>
      </c>
      <c r="D31" s="12" t="s">
        <v>25</v>
      </c>
      <c r="E31" s="12" t="s">
        <v>26</v>
      </c>
      <c r="F31" s="12" t="s">
        <v>27</v>
      </c>
      <c r="G31" s="31">
        <v>16</v>
      </c>
      <c r="H31" s="30" t="s">
        <v>86</v>
      </c>
      <c r="I31" s="30" t="s">
        <v>5</v>
      </c>
      <c r="J31" s="30" t="s">
        <v>51</v>
      </c>
      <c r="K31" s="30" t="s">
        <v>87</v>
      </c>
      <c r="L31" s="17">
        <v>5</v>
      </c>
      <c r="M31" s="17">
        <v>2</v>
      </c>
      <c r="N31" s="17">
        <v>1</v>
      </c>
      <c r="O31" s="17">
        <v>2</v>
      </c>
      <c r="P31" s="31" t="s">
        <v>88</v>
      </c>
      <c r="Q31" s="31" t="s">
        <v>89</v>
      </c>
      <c r="R31" s="18">
        <f t="shared" si="4"/>
        <v>0.4</v>
      </c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</row>
    <row r="32" spans="1:46" s="20" customFormat="1" x14ac:dyDescent="0.25">
      <c r="A32" s="12">
        <v>202534875</v>
      </c>
      <c r="B32" s="12" t="s">
        <v>23</v>
      </c>
      <c r="C32" s="12" t="s">
        <v>24</v>
      </c>
      <c r="D32" s="12" t="s">
        <v>25</v>
      </c>
      <c r="E32" s="12" t="s">
        <v>26</v>
      </c>
      <c r="F32" s="12" t="s">
        <v>27</v>
      </c>
      <c r="G32" s="31">
        <v>17</v>
      </c>
      <c r="H32" s="30" t="s">
        <v>90</v>
      </c>
      <c r="I32" s="30" t="s">
        <v>5</v>
      </c>
      <c r="J32" s="30" t="s">
        <v>51</v>
      </c>
      <c r="K32" s="30" t="s">
        <v>91</v>
      </c>
      <c r="L32" s="17">
        <v>5</v>
      </c>
      <c r="M32" s="17">
        <v>2</v>
      </c>
      <c r="N32" s="17">
        <v>1</v>
      </c>
      <c r="O32" s="17">
        <v>2</v>
      </c>
      <c r="P32" s="31" t="s">
        <v>92</v>
      </c>
      <c r="Q32" s="31" t="s">
        <v>40</v>
      </c>
      <c r="R32" s="18">
        <f t="shared" si="4"/>
        <v>0.4</v>
      </c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</row>
    <row r="33" spans="1:46" s="20" customFormat="1" x14ac:dyDescent="0.25">
      <c r="A33" s="12">
        <v>202534875</v>
      </c>
      <c r="B33" s="12" t="s">
        <v>23</v>
      </c>
      <c r="C33" s="12" t="s">
        <v>24</v>
      </c>
      <c r="D33" s="12" t="s">
        <v>25</v>
      </c>
      <c r="E33" s="12" t="s">
        <v>26</v>
      </c>
      <c r="F33" s="12" t="s">
        <v>27</v>
      </c>
      <c r="G33" s="31">
        <v>19</v>
      </c>
      <c r="H33" s="30" t="s">
        <v>93</v>
      </c>
      <c r="I33" s="30" t="s">
        <v>3</v>
      </c>
      <c r="J33" s="30" t="s">
        <v>51</v>
      </c>
      <c r="K33" s="30" t="s">
        <v>87</v>
      </c>
      <c r="L33" s="17">
        <v>5</v>
      </c>
      <c r="M33" s="17">
        <v>1</v>
      </c>
      <c r="N33" s="17">
        <v>2</v>
      </c>
      <c r="O33" s="17">
        <v>2</v>
      </c>
      <c r="P33" s="31" t="s">
        <v>32</v>
      </c>
      <c r="Q33" s="31" t="s">
        <v>89</v>
      </c>
      <c r="R33" s="18">
        <f t="shared" si="4"/>
        <v>0.2</v>
      </c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</row>
    <row r="34" spans="1:46" s="20" customFormat="1" x14ac:dyDescent="0.25">
      <c r="A34" s="12">
        <v>202534875</v>
      </c>
      <c r="B34" s="12" t="s">
        <v>23</v>
      </c>
      <c r="C34" s="12" t="s">
        <v>24</v>
      </c>
      <c r="D34" s="12" t="s">
        <v>25</v>
      </c>
      <c r="E34" s="12" t="s">
        <v>26</v>
      </c>
      <c r="F34" s="12" t="s">
        <v>27</v>
      </c>
      <c r="G34" s="31">
        <v>24</v>
      </c>
      <c r="H34" s="30" t="s">
        <v>94</v>
      </c>
      <c r="I34" s="30" t="s">
        <v>3</v>
      </c>
      <c r="J34" s="30" t="s">
        <v>51</v>
      </c>
      <c r="K34" s="30" t="s">
        <v>95</v>
      </c>
      <c r="L34" s="17">
        <v>5</v>
      </c>
      <c r="M34" s="17">
        <v>2</v>
      </c>
      <c r="N34" s="17">
        <v>1</v>
      </c>
      <c r="O34" s="17">
        <v>2</v>
      </c>
      <c r="P34" s="31" t="s">
        <v>92</v>
      </c>
      <c r="Q34" s="31" t="s">
        <v>46</v>
      </c>
      <c r="R34" s="18">
        <f t="shared" si="4"/>
        <v>0.4</v>
      </c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</row>
    <row r="35" spans="1:46" s="20" customFormat="1" x14ac:dyDescent="0.25">
      <c r="A35" s="12">
        <v>202534875</v>
      </c>
      <c r="B35" s="12" t="s">
        <v>23</v>
      </c>
      <c r="C35" s="12" t="s">
        <v>24</v>
      </c>
      <c r="D35" s="12" t="s">
        <v>25</v>
      </c>
      <c r="E35" s="12" t="s">
        <v>26</v>
      </c>
      <c r="F35" s="12" t="s">
        <v>27</v>
      </c>
      <c r="G35" s="31">
        <v>30</v>
      </c>
      <c r="H35" s="30" t="s">
        <v>96</v>
      </c>
      <c r="I35" s="30" t="s">
        <v>4</v>
      </c>
      <c r="J35" s="30" t="s">
        <v>50</v>
      </c>
      <c r="K35" s="30" t="s">
        <v>97</v>
      </c>
      <c r="L35" s="17">
        <v>5</v>
      </c>
      <c r="M35" s="17">
        <v>2</v>
      </c>
      <c r="N35" s="17">
        <v>1</v>
      </c>
      <c r="O35" s="17">
        <v>2</v>
      </c>
      <c r="P35" s="31" t="s">
        <v>98</v>
      </c>
      <c r="Q35" s="31" t="s">
        <v>40</v>
      </c>
      <c r="R35" s="18">
        <f t="shared" si="4"/>
        <v>0.4</v>
      </c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</row>
    <row r="36" spans="1:46" s="20" customFormat="1" x14ac:dyDescent="0.25">
      <c r="A36" s="12">
        <v>202534875</v>
      </c>
      <c r="B36" s="12" t="s">
        <v>23</v>
      </c>
      <c r="C36" s="12" t="s">
        <v>24</v>
      </c>
      <c r="D36" s="12" t="s">
        <v>25</v>
      </c>
      <c r="E36" s="12" t="s">
        <v>26</v>
      </c>
      <c r="F36" s="12" t="s">
        <v>27</v>
      </c>
      <c r="G36" s="31">
        <v>31</v>
      </c>
      <c r="H36" s="30" t="s">
        <v>99</v>
      </c>
      <c r="I36" s="30" t="s">
        <v>4</v>
      </c>
      <c r="J36" s="30" t="s">
        <v>48</v>
      </c>
      <c r="K36" s="30" t="s">
        <v>100</v>
      </c>
      <c r="L36" s="17">
        <v>5</v>
      </c>
      <c r="M36" s="17">
        <v>1</v>
      </c>
      <c r="N36" s="17">
        <v>2</v>
      </c>
      <c r="O36" s="17">
        <v>2</v>
      </c>
      <c r="P36" s="31" t="s">
        <v>98</v>
      </c>
      <c r="Q36" s="31" t="s">
        <v>89</v>
      </c>
      <c r="R36" s="18">
        <f t="shared" si="4"/>
        <v>0.2</v>
      </c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</row>
    <row r="37" spans="1:46" x14ac:dyDescent="0.25">
      <c r="O37"/>
      <c r="P37"/>
      <c r="Q37"/>
      <c r="R37"/>
      <c r="AE37" s="2"/>
      <c r="AF37" s="2"/>
      <c r="AG37" s="2"/>
      <c r="AH37" s="2"/>
    </row>
  </sheetData>
  <mergeCells count="6">
    <mergeCell ref="O19:R19"/>
    <mergeCell ref="S19:V19"/>
    <mergeCell ref="W19:Z19"/>
    <mergeCell ref="O10:R10"/>
    <mergeCell ref="S10:V10"/>
    <mergeCell ref="W10:Z1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 Temp (with Result)</vt:lpstr>
      <vt:lpstr>Report Temp (Perf Indicator)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Jasmeet Singh</dc:creator>
  <cp:lastModifiedBy>Jasmeet Singh</cp:lastModifiedBy>
  <dcterms:created xsi:type="dcterms:W3CDTF">2025-05-21T12:59:57Z</dcterms:created>
  <dcterms:modified xsi:type="dcterms:W3CDTF">2025-05-22T05:53:56Z</dcterms:modified>
</cp:coreProperties>
</file>