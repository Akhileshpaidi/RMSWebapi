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thicalMinds\App Development\Risk Management Solution\RMS Application Design\GRMA Testing Scenarios\"/>
    </mc:Choice>
  </mc:AlternateContent>
  <xr:revisionPtr revIDLastSave="0" documentId="13_ncr:1_{F49EFBB9-1DD6-4553-BA2E-C219DC79FD4C}" xr6:coauthVersionLast="47" xr6:coauthVersionMax="47" xr10:uidLastSave="{00000000-0000-0000-0000-000000000000}"/>
  <bookViews>
    <workbookView xWindow="-120" yWindow="-120" windowWidth="29040" windowHeight="15720" tabRatio="792" xr2:uid="{4372F4B2-FE0A-479A-B875-7282C252ABFA}"/>
  </bookViews>
  <sheets>
    <sheet name="QB Masters" sheetId="1" r:id="rId1"/>
    <sheet name="QB Library (User 1)" sheetId="11" r:id="rId2"/>
    <sheet name="QB Library (User 2)" sheetId="12" r:id="rId3"/>
    <sheet name="QB Library (User 3)" sheetId="13" r:id="rId4"/>
    <sheet name="QB Reserve" sheetId="3" r:id="rId5"/>
    <sheet name="Subject Assessment (1)" sheetId="4" r:id="rId6"/>
    <sheet name="Subject Assessment (2)" sheetId="7" r:id="rId7"/>
    <sheet name="Subject Assessment (3)" sheetId="8" r:id="rId8"/>
    <sheet name="Subject Assessment (4)" sheetId="9" r:id="rId9"/>
    <sheet name="Subject Assessment (5)" sheetId="10" r:id="rId10"/>
  </sheets>
  <definedNames>
    <definedName name="_xlnm._FilterDatabase" localSheetId="1" hidden="1">'QB Library (User 1)'!$W$1:$W$20</definedName>
    <definedName name="_xlnm._FilterDatabase" localSheetId="2" hidden="1">'QB Library (User 2)'!$W$1:$W$21</definedName>
    <definedName name="_xlnm._FilterDatabase" localSheetId="3" hidden="1">'QB Library (User 3)'!$W$1:$W$21</definedName>
    <definedName name="_xlnm._FilterDatabase" localSheetId="4" hidden="1">'QB Reserve'!$B$1:$W$54</definedName>
    <definedName name="TopicList">'QB Masters'!$P$3:$P$24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8" i="9" l="1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A5" i="3"/>
  <c r="R8" i="9" s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5" i="1"/>
  <c r="S6" i="8" l="1"/>
  <c r="S5" i="9"/>
  <c r="S5" i="8"/>
  <c r="S5" i="4"/>
  <c r="H5" i="8"/>
  <c r="Q5" i="8"/>
  <c r="R5" i="8"/>
  <c r="J5" i="8"/>
  <c r="D8" i="9"/>
  <c r="K5" i="8"/>
  <c r="E8" i="9"/>
  <c r="M8" i="9"/>
  <c r="L5" i="8"/>
  <c r="F8" i="9"/>
  <c r="M5" i="8"/>
  <c r="P8" i="9"/>
  <c r="F5" i="8"/>
  <c r="N5" i="8"/>
  <c r="H8" i="9"/>
  <c r="Q8" i="9"/>
  <c r="J8" i="9"/>
  <c r="I5" i="8"/>
  <c r="C8" i="9"/>
  <c r="K8" i="9"/>
  <c r="L8" i="9"/>
  <c r="C5" i="8"/>
  <c r="D5" i="8"/>
  <c r="A5" i="8" s="1"/>
  <c r="N8" i="9"/>
  <c r="E5" i="8"/>
  <c r="G8" i="9"/>
  <c r="G5" i="8"/>
  <c r="P5" i="8"/>
  <c r="F5" i="9"/>
  <c r="I8" i="9"/>
  <c r="M5" i="4"/>
  <c r="P5" i="4"/>
  <c r="L5" i="4"/>
  <c r="H5" i="4"/>
  <c r="A6" i="3"/>
  <c r="E8" i="4"/>
  <c r="I5" i="4"/>
  <c r="E5" i="4"/>
  <c r="K5" i="4"/>
  <c r="G5" i="4"/>
  <c r="R5" i="4"/>
  <c r="H8" i="4"/>
  <c r="Q5" i="4"/>
  <c r="N5" i="4"/>
  <c r="J5" i="4"/>
  <c r="F5" i="4"/>
  <c r="D5" i="4"/>
  <c r="A5" i="4" s="1"/>
  <c r="C8" i="4" l="1"/>
  <c r="L6" i="8"/>
  <c r="S8" i="4"/>
  <c r="S6" i="4"/>
  <c r="N6" i="8"/>
  <c r="G5" i="9"/>
  <c r="I5" i="9"/>
  <c r="R5" i="9"/>
  <c r="D8" i="4"/>
  <c r="C6" i="8"/>
  <c r="M6" i="8"/>
  <c r="F8" i="4"/>
  <c r="P5" i="9"/>
  <c r="E6" i="8"/>
  <c r="Q5" i="9"/>
  <c r="D5" i="9"/>
  <c r="A5" i="9" s="1"/>
  <c r="A7" i="3"/>
  <c r="K6" i="9"/>
  <c r="E6" i="9"/>
  <c r="K5" i="9"/>
  <c r="L5" i="9"/>
  <c r="P8" i="4"/>
  <c r="R8" i="4"/>
  <c r="N8" i="4"/>
  <c r="E5" i="9"/>
  <c r="L6" i="9"/>
  <c r="H6" i="8"/>
  <c r="K8" i="4"/>
  <c r="M8" i="4"/>
  <c r="H5" i="9"/>
  <c r="M5" i="9"/>
  <c r="I6" i="8"/>
  <c r="Q6" i="8"/>
  <c r="J8" i="4"/>
  <c r="G8" i="4"/>
  <c r="I8" i="4"/>
  <c r="R6" i="8"/>
  <c r="J6" i="8"/>
  <c r="D6" i="8"/>
  <c r="A6" i="8" s="1"/>
  <c r="K6" i="8"/>
  <c r="G6" i="9"/>
  <c r="P6" i="8"/>
  <c r="J5" i="9"/>
  <c r="L8" i="4"/>
  <c r="N5" i="9"/>
  <c r="F6" i="8"/>
  <c r="G6" i="8"/>
  <c r="Q8" i="4"/>
  <c r="Q6" i="4" l="1"/>
  <c r="S6" i="9"/>
  <c r="H6" i="4"/>
  <c r="J6" i="4"/>
  <c r="F6" i="4"/>
  <c r="F6" i="9"/>
  <c r="C6" i="9"/>
  <c r="R6" i="4"/>
  <c r="N6" i="9"/>
  <c r="D6" i="9"/>
  <c r="A6" i="9" s="1"/>
  <c r="G6" i="4"/>
  <c r="H6" i="9"/>
  <c r="P6" i="9"/>
  <c r="M6" i="4"/>
  <c r="L6" i="4"/>
  <c r="P6" i="4"/>
  <c r="M6" i="9"/>
  <c r="K6" i="4"/>
  <c r="A8" i="3"/>
  <c r="N6" i="4"/>
  <c r="E6" i="4"/>
  <c r="I6" i="4"/>
  <c r="J6" i="9"/>
  <c r="I6" i="9"/>
  <c r="C6" i="4"/>
  <c r="D6" i="4"/>
  <c r="A6" i="4" s="1"/>
  <c r="Q6" i="9"/>
  <c r="R6" i="9"/>
  <c r="R7" i="9" l="1"/>
  <c r="S5" i="7"/>
  <c r="S7" i="9"/>
  <c r="Q7" i="9"/>
  <c r="K7" i="9"/>
  <c r="M5" i="7"/>
  <c r="K5" i="7"/>
  <c r="J5" i="7"/>
  <c r="F7" i="9"/>
  <c r="N5" i="7"/>
  <c r="Q5" i="7"/>
  <c r="P7" i="9"/>
  <c r="D5" i="7"/>
  <c r="A5" i="7" s="1"/>
  <c r="F5" i="7"/>
  <c r="G7" i="9"/>
  <c r="D7" i="9"/>
  <c r="A7" i="9" s="1"/>
  <c r="A8" i="9" s="1"/>
  <c r="A9" i="3"/>
  <c r="S7" i="8" s="1"/>
  <c r="E7" i="9"/>
  <c r="L5" i="7"/>
  <c r="C7" i="9"/>
  <c r="H7" i="9"/>
  <c r="E5" i="7"/>
  <c r="J7" i="9"/>
  <c r="P5" i="7"/>
  <c r="I7" i="9"/>
  <c r="H5" i="7"/>
  <c r="R5" i="7"/>
  <c r="I5" i="7"/>
  <c r="N7" i="9"/>
  <c r="M7" i="9"/>
  <c r="G5" i="7"/>
  <c r="L7" i="9"/>
  <c r="N7" i="8" l="1"/>
  <c r="S9" i="4"/>
  <c r="F7" i="8"/>
  <c r="C9" i="4"/>
  <c r="R7" i="8"/>
  <c r="I9" i="4"/>
  <c r="I7" i="8"/>
  <c r="D9" i="4"/>
  <c r="K9" i="4"/>
  <c r="E7" i="8"/>
  <c r="J7" i="8"/>
  <c r="A10" i="3"/>
  <c r="M9" i="9" s="1"/>
  <c r="H7" i="8"/>
  <c r="E9" i="4"/>
  <c r="J9" i="4"/>
  <c r="P7" i="8"/>
  <c r="M9" i="4"/>
  <c r="Q9" i="4"/>
  <c r="K7" i="8"/>
  <c r="F9" i="4"/>
  <c r="N9" i="4"/>
  <c r="Q7" i="8"/>
  <c r="H9" i="4"/>
  <c r="D7" i="8"/>
  <c r="A7" i="8" s="1"/>
  <c r="L7" i="8"/>
  <c r="M7" i="8"/>
  <c r="L9" i="4"/>
  <c r="C7" i="8"/>
  <c r="R9" i="4"/>
  <c r="G7" i="8"/>
  <c r="P9" i="4"/>
  <c r="G9" i="4"/>
  <c r="S8" i="8" l="1"/>
  <c r="S7" i="4"/>
  <c r="S9" i="9"/>
  <c r="Q8" i="8"/>
  <c r="N7" i="4"/>
  <c r="G9" i="9"/>
  <c r="M8" i="8"/>
  <c r="H9" i="9"/>
  <c r="Q7" i="4"/>
  <c r="M7" i="4"/>
  <c r="C8" i="8"/>
  <c r="I8" i="8"/>
  <c r="A11" i="3"/>
  <c r="D9" i="9"/>
  <c r="A9" i="9" s="1"/>
  <c r="R7" i="4"/>
  <c r="C9" i="9"/>
  <c r="D8" i="8"/>
  <c r="A8" i="8" s="1"/>
  <c r="G7" i="4"/>
  <c r="P7" i="4"/>
  <c r="F8" i="8"/>
  <c r="P8" i="8"/>
  <c r="K8" i="8"/>
  <c r="F9" i="9"/>
  <c r="J8" i="8"/>
  <c r="R8" i="8"/>
  <c r="I7" i="4"/>
  <c r="J7" i="4"/>
  <c r="Q9" i="9"/>
  <c r="F7" i="4"/>
  <c r="N8" i="8"/>
  <c r="I9" i="9"/>
  <c r="K9" i="9"/>
  <c r="L8" i="8"/>
  <c r="R9" i="9"/>
  <c r="G8" i="8"/>
  <c r="E7" i="4"/>
  <c r="N9" i="9"/>
  <c r="L9" i="9"/>
  <c r="H7" i="4"/>
  <c r="D7" i="4"/>
  <c r="A7" i="4" s="1"/>
  <c r="A8" i="4" s="1"/>
  <c r="A9" i="4" s="1"/>
  <c r="P9" i="9"/>
  <c r="C7" i="4"/>
  <c r="E9" i="9"/>
  <c r="E8" i="8"/>
  <c r="C6" i="7"/>
  <c r="J9" i="9"/>
  <c r="K7" i="4"/>
  <c r="L7" i="4"/>
  <c r="H8" i="8"/>
  <c r="G9" i="8" l="1"/>
  <c r="N9" i="8"/>
  <c r="S9" i="8"/>
  <c r="Q9" i="8"/>
  <c r="E6" i="7"/>
  <c r="M9" i="8"/>
  <c r="R9" i="8"/>
  <c r="N6" i="7"/>
  <c r="M6" i="7"/>
  <c r="Q6" i="7"/>
  <c r="R6" i="7"/>
  <c r="D9" i="8"/>
  <c r="A9" i="8" s="1"/>
  <c r="C9" i="8"/>
  <c r="F9" i="8"/>
  <c r="A12" i="3"/>
  <c r="K6" i="7"/>
  <c r="L6" i="7"/>
  <c r="P6" i="7"/>
  <c r="L9" i="8"/>
  <c r="D6" i="7"/>
  <c r="A6" i="7" s="1"/>
  <c r="F6" i="7"/>
  <c r="K10" i="4"/>
  <c r="H9" i="8"/>
  <c r="E9" i="8"/>
  <c r="G6" i="7"/>
  <c r="J6" i="7"/>
  <c r="P9" i="8"/>
  <c r="I9" i="8"/>
  <c r="G10" i="4"/>
  <c r="I6" i="7"/>
  <c r="K9" i="8"/>
  <c r="J9" i="8"/>
  <c r="R10" i="4" l="1"/>
  <c r="I10" i="4"/>
  <c r="H10" i="4"/>
  <c r="F10" i="4"/>
  <c r="P10" i="4"/>
  <c r="N10" i="4"/>
  <c r="J10" i="4"/>
  <c r="C10" i="4"/>
  <c r="L10" i="4"/>
  <c r="E10" i="4"/>
  <c r="Q10" i="4"/>
  <c r="A13" i="3"/>
  <c r="G11" i="4" s="1"/>
  <c r="L11" i="4"/>
  <c r="M11" i="4"/>
  <c r="Q11" i="4"/>
  <c r="M10" i="4"/>
  <c r="D10" i="4"/>
  <c r="A10" i="4" s="1"/>
  <c r="L10" i="9" l="1"/>
  <c r="E10" i="9"/>
  <c r="F10" i="9"/>
  <c r="D10" i="9"/>
  <c r="A10" i="9" s="1"/>
  <c r="P11" i="4"/>
  <c r="N10" i="9"/>
  <c r="I10" i="9"/>
  <c r="R10" i="9"/>
  <c r="R11" i="4"/>
  <c r="A14" i="3"/>
  <c r="J11" i="9" s="1"/>
  <c r="C11" i="9"/>
  <c r="N11" i="4"/>
  <c r="R8" i="7"/>
  <c r="I21" i="8"/>
  <c r="J10" i="9"/>
  <c r="H11" i="4"/>
  <c r="D11" i="4"/>
  <c r="A11" i="4" s="1"/>
  <c r="Q8" i="7"/>
  <c r="P21" i="8"/>
  <c r="R21" i="8"/>
  <c r="C21" i="8"/>
  <c r="R11" i="9"/>
  <c r="C11" i="4"/>
  <c r="H10" i="9"/>
  <c r="E11" i="4"/>
  <c r="P8" i="7"/>
  <c r="K10" i="9"/>
  <c r="K11" i="9"/>
  <c r="P10" i="9"/>
  <c r="M10" i="9"/>
  <c r="F11" i="4"/>
  <c r="J11" i="4"/>
  <c r="G10" i="9"/>
  <c r="L21" i="8"/>
  <c r="C10" i="9"/>
  <c r="I11" i="4"/>
  <c r="K11" i="4"/>
  <c r="Q10" i="9"/>
  <c r="I11" i="9" l="1"/>
  <c r="E11" i="9"/>
  <c r="K21" i="8"/>
  <c r="G11" i="9"/>
  <c r="N11" i="9"/>
  <c r="F21" i="8"/>
  <c r="E8" i="7"/>
  <c r="D21" i="8"/>
  <c r="L8" i="7"/>
  <c r="N21" i="8"/>
  <c r="E21" i="8"/>
  <c r="M8" i="7"/>
  <c r="D8" i="7"/>
  <c r="M21" i="8"/>
  <c r="L11" i="9"/>
  <c r="H11" i="9"/>
  <c r="N8" i="7"/>
  <c r="H8" i="7"/>
  <c r="F11" i="9"/>
  <c r="F8" i="7"/>
  <c r="G21" i="8"/>
  <c r="J21" i="8"/>
  <c r="K8" i="7"/>
  <c r="A15" i="3"/>
  <c r="Q9" i="7" s="1"/>
  <c r="P11" i="9"/>
  <c r="Q21" i="8"/>
  <c r="I8" i="7"/>
  <c r="J8" i="7"/>
  <c r="Q11" i="9"/>
  <c r="H21" i="8"/>
  <c r="C8" i="7"/>
  <c r="G8" i="7"/>
  <c r="D11" i="9"/>
  <c r="A11" i="9" s="1"/>
  <c r="M11" i="9"/>
  <c r="C12" i="8" l="1"/>
  <c r="G12" i="8"/>
  <c r="K9" i="7"/>
  <c r="P9" i="7"/>
  <c r="L12" i="8"/>
  <c r="N12" i="8"/>
  <c r="G9" i="7"/>
  <c r="J12" i="8"/>
  <c r="J9" i="7"/>
  <c r="R12" i="8"/>
  <c r="M9" i="7"/>
  <c r="D9" i="7"/>
  <c r="R9" i="7"/>
  <c r="A16" i="3"/>
  <c r="P10" i="7" s="1"/>
  <c r="I9" i="7"/>
  <c r="N9" i="7"/>
  <c r="P12" i="8"/>
  <c r="F9" i="7"/>
  <c r="E9" i="7"/>
  <c r="H9" i="7"/>
  <c r="C9" i="7"/>
  <c r="D12" i="8"/>
  <c r="F12" i="8"/>
  <c r="L9" i="7"/>
  <c r="M12" i="8"/>
  <c r="I12" i="8"/>
  <c r="E12" i="8"/>
  <c r="K12" i="8"/>
  <c r="Q12" i="8"/>
  <c r="H12" i="8"/>
  <c r="R11" i="8" l="1"/>
  <c r="M11" i="8"/>
  <c r="N10" i="7"/>
  <c r="F11" i="8"/>
  <c r="I10" i="7"/>
  <c r="C10" i="7"/>
  <c r="D11" i="8"/>
  <c r="K11" i="8"/>
  <c r="D10" i="7"/>
  <c r="J10" i="7"/>
  <c r="J11" i="8"/>
  <c r="C11" i="8"/>
  <c r="H10" i="7"/>
  <c r="G10" i="7"/>
  <c r="Q11" i="8"/>
  <c r="E11" i="8"/>
  <c r="F10" i="7"/>
  <c r="L11" i="8"/>
  <c r="R10" i="7"/>
  <c r="Q10" i="7"/>
  <c r="I11" i="8"/>
  <c r="L10" i="7"/>
  <c r="G11" i="8"/>
  <c r="P11" i="8"/>
  <c r="E10" i="7"/>
  <c r="A17" i="3"/>
  <c r="P7" i="7" s="1"/>
  <c r="M10" i="7"/>
  <c r="N11" i="8"/>
  <c r="H11" i="8"/>
  <c r="K10" i="7"/>
  <c r="K7" i="7" l="1"/>
  <c r="R7" i="7"/>
  <c r="K10" i="8"/>
  <c r="N10" i="8"/>
  <c r="Q7" i="7"/>
  <c r="G7" i="7"/>
  <c r="M7" i="7"/>
  <c r="L10" i="8"/>
  <c r="H7" i="7"/>
  <c r="M10" i="8"/>
  <c r="J7" i="7"/>
  <c r="I7" i="7"/>
  <c r="E7" i="7"/>
  <c r="C7" i="7"/>
  <c r="A18" i="3"/>
  <c r="G20" i="8" s="1"/>
  <c r="J10" i="8"/>
  <c r="D10" i="8"/>
  <c r="A10" i="8" s="1"/>
  <c r="A11" i="8" s="1"/>
  <c r="A12" i="8" s="1"/>
  <c r="N7" i="7"/>
  <c r="G10" i="8"/>
  <c r="I10" i="8"/>
  <c r="F10" i="8"/>
  <c r="D7" i="7"/>
  <c r="A7" i="7" s="1"/>
  <c r="A8" i="7" s="1"/>
  <c r="A9" i="7" s="1"/>
  <c r="A10" i="7" s="1"/>
  <c r="C10" i="8"/>
  <c r="R10" i="8"/>
  <c r="P10" i="8"/>
  <c r="F7" i="7"/>
  <c r="H10" i="8"/>
  <c r="L7" i="7"/>
  <c r="Q10" i="8"/>
  <c r="E10" i="8"/>
  <c r="R20" i="8" l="1"/>
  <c r="E20" i="8"/>
  <c r="R29" i="10"/>
  <c r="Q20" i="8"/>
  <c r="H29" i="10"/>
  <c r="K20" i="8"/>
  <c r="C29" i="10"/>
  <c r="P29" i="10"/>
  <c r="L20" i="8"/>
  <c r="H20" i="8"/>
  <c r="F20" i="8"/>
  <c r="D20" i="8"/>
  <c r="M20" i="8"/>
  <c r="I29" i="10"/>
  <c r="N20" i="8"/>
  <c r="G29" i="10"/>
  <c r="J20" i="8"/>
  <c r="P20" i="8"/>
  <c r="E29" i="10"/>
  <c r="A19" i="3"/>
  <c r="I20" i="8"/>
  <c r="Q29" i="10"/>
  <c r="K29" i="10"/>
  <c r="C20" i="8"/>
  <c r="D29" i="10"/>
  <c r="F29" i="10"/>
  <c r="N29" i="10"/>
  <c r="L29" i="10"/>
  <c r="J29" i="10"/>
  <c r="M29" i="10"/>
  <c r="Q5" i="10" l="1"/>
  <c r="L5" i="10"/>
  <c r="A20" i="3"/>
  <c r="L6" i="10" s="1"/>
  <c r="G5" i="10"/>
  <c r="K5" i="10"/>
  <c r="J5" i="10"/>
  <c r="M5" i="10"/>
  <c r="N5" i="10"/>
  <c r="R5" i="10"/>
  <c r="P5" i="10"/>
  <c r="I5" i="10"/>
  <c r="E5" i="10"/>
  <c r="D5" i="10"/>
  <c r="A5" i="10" s="1"/>
  <c r="H5" i="10"/>
  <c r="F5" i="10"/>
  <c r="H6" i="10" l="1"/>
  <c r="R6" i="10"/>
  <c r="Q6" i="10"/>
  <c r="F6" i="10"/>
  <c r="K6" i="10"/>
  <c r="N6" i="10"/>
  <c r="J6" i="10"/>
  <c r="A21" i="3"/>
  <c r="R7" i="10" s="1"/>
  <c r="I6" i="10"/>
  <c r="E6" i="10"/>
  <c r="D6" i="10"/>
  <c r="A6" i="10" s="1"/>
  <c r="P6" i="10"/>
  <c r="C6" i="10"/>
  <c r="G6" i="10"/>
  <c r="M6" i="10"/>
  <c r="Q19" i="8" l="1"/>
  <c r="G19" i="8"/>
  <c r="L19" i="8"/>
  <c r="J7" i="10"/>
  <c r="I19" i="8"/>
  <c r="L7" i="10"/>
  <c r="D7" i="10"/>
  <c r="A7" i="10" s="1"/>
  <c r="P7" i="10"/>
  <c r="K19" i="8"/>
  <c r="N7" i="10"/>
  <c r="J19" i="8"/>
  <c r="E7" i="10"/>
  <c r="C7" i="10"/>
  <c r="M7" i="10"/>
  <c r="N19" i="8"/>
  <c r="R19" i="8"/>
  <c r="M19" i="8"/>
  <c r="A22" i="3"/>
  <c r="H8" i="10" s="1"/>
  <c r="D19" i="8"/>
  <c r="Q7" i="10"/>
  <c r="P19" i="8"/>
  <c r="I7" i="10"/>
  <c r="K7" i="10"/>
  <c r="E19" i="8"/>
  <c r="G7" i="10"/>
  <c r="H7" i="10"/>
  <c r="C19" i="8"/>
  <c r="H19" i="8"/>
  <c r="F7" i="10"/>
  <c r="F19" i="8"/>
  <c r="M8" i="10" l="1"/>
  <c r="R8" i="10"/>
  <c r="K8" i="10"/>
  <c r="Q8" i="10"/>
  <c r="E8" i="10"/>
  <c r="F8" i="10"/>
  <c r="A23" i="3"/>
  <c r="J13" i="8" s="1"/>
  <c r="I8" i="10"/>
  <c r="P8" i="10"/>
  <c r="C8" i="10"/>
  <c r="J8" i="10"/>
  <c r="D8" i="10"/>
  <c r="A8" i="10" s="1"/>
  <c r="G8" i="10"/>
  <c r="L8" i="10"/>
  <c r="N8" i="10"/>
  <c r="F13" i="8" l="1"/>
  <c r="I12" i="9"/>
  <c r="R12" i="9"/>
  <c r="E12" i="9"/>
  <c r="K12" i="9"/>
  <c r="E13" i="8"/>
  <c r="N12" i="9"/>
  <c r="R13" i="8"/>
  <c r="M13" i="8"/>
  <c r="H13" i="8"/>
  <c r="Q12" i="9"/>
  <c r="J12" i="9"/>
  <c r="P12" i="9"/>
  <c r="L12" i="9"/>
  <c r="K13" i="8"/>
  <c r="G13" i="8"/>
  <c r="I13" i="8"/>
  <c r="G12" i="9"/>
  <c r="A24" i="3"/>
  <c r="D21" i="9" s="1"/>
  <c r="C12" i="9"/>
  <c r="D13" i="8"/>
  <c r="A13" i="8" s="1"/>
  <c r="F12" i="9"/>
  <c r="Q13" i="8"/>
  <c r="D12" i="9"/>
  <c r="A12" i="9" s="1"/>
  <c r="C13" i="8"/>
  <c r="L13" i="8"/>
  <c r="H12" i="9"/>
  <c r="P13" i="8"/>
  <c r="N13" i="8"/>
  <c r="M12" i="9"/>
  <c r="H21" i="9" l="1"/>
  <c r="J21" i="9"/>
  <c r="C21" i="9"/>
  <c r="G14" i="8"/>
  <c r="F21" i="9"/>
  <c r="Q21" i="9"/>
  <c r="K21" i="9"/>
  <c r="J14" i="8"/>
  <c r="L21" i="9"/>
  <c r="L14" i="8"/>
  <c r="A25" i="3"/>
  <c r="K17" i="9" s="1"/>
  <c r="F14" i="8"/>
  <c r="M14" i="8"/>
  <c r="N14" i="8"/>
  <c r="E14" i="8"/>
  <c r="Q14" i="8"/>
  <c r="K14" i="8"/>
  <c r="N21" i="9"/>
  <c r="G21" i="9"/>
  <c r="P14" i="8"/>
  <c r="H15" i="8"/>
  <c r="C14" i="8"/>
  <c r="R14" i="8"/>
  <c r="M21" i="9"/>
  <c r="I14" i="8"/>
  <c r="D14" i="8"/>
  <c r="A14" i="8" s="1"/>
  <c r="E21" i="9"/>
  <c r="I21" i="9"/>
  <c r="P21" i="9"/>
  <c r="L17" i="9" l="1"/>
  <c r="F15" i="8"/>
  <c r="Q15" i="8"/>
  <c r="C17" i="9"/>
  <c r="N17" i="9"/>
  <c r="J17" i="9"/>
  <c r="P17" i="9"/>
  <c r="P15" i="8"/>
  <c r="F17" i="9"/>
  <c r="H17" i="9"/>
  <c r="G17" i="9"/>
  <c r="G15" i="8"/>
  <c r="M17" i="9"/>
  <c r="R17" i="9"/>
  <c r="A26" i="3"/>
  <c r="D9" i="10" s="1"/>
  <c r="A9" i="10" s="1"/>
  <c r="N15" i="8"/>
  <c r="E15" i="8"/>
  <c r="I17" i="9"/>
  <c r="M15" i="8"/>
  <c r="C15" i="8"/>
  <c r="Q17" i="9"/>
  <c r="D17" i="9"/>
  <c r="E17" i="9"/>
  <c r="L15" i="8"/>
  <c r="R15" i="8"/>
  <c r="F9" i="10" l="1"/>
  <c r="A27" i="3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Q22" i="9"/>
  <c r="R26" i="4" l="1"/>
  <c r="S15" i="9"/>
  <c r="S13" i="8"/>
  <c r="S14" i="8"/>
  <c r="S15" i="8"/>
  <c r="S21" i="8"/>
  <c r="S20" i="10"/>
  <c r="S11" i="9"/>
  <c r="S21" i="9"/>
  <c r="S5" i="10"/>
  <c r="S26" i="10"/>
  <c r="S28" i="10"/>
  <c r="S13" i="10"/>
  <c r="S20" i="9"/>
  <c r="S25" i="10"/>
  <c r="S17" i="10"/>
  <c r="S22" i="9"/>
  <c r="S18" i="10"/>
  <c r="S27" i="10"/>
  <c r="S21" i="10"/>
  <c r="S11" i="4"/>
  <c r="S7" i="10"/>
  <c r="S18" i="9"/>
  <c r="S12" i="9"/>
  <c r="S6" i="7"/>
  <c r="S10" i="10"/>
  <c r="S10" i="4"/>
  <c r="S16" i="8"/>
  <c r="S13" i="9"/>
  <c r="S19" i="10"/>
  <c r="S23" i="10"/>
  <c r="S6" i="10"/>
  <c r="S15" i="10"/>
  <c r="S14" i="9"/>
  <c r="S24" i="10"/>
  <c r="S12" i="10"/>
  <c r="S7" i="7"/>
  <c r="S17" i="8"/>
  <c r="S16" i="10"/>
  <c r="S12" i="8"/>
  <c r="S9" i="7"/>
  <c r="S11" i="10"/>
  <c r="S16" i="9"/>
  <c r="S19" i="9"/>
  <c r="S10" i="9"/>
  <c r="S19" i="8"/>
  <c r="S29" i="10"/>
  <c r="S22" i="10"/>
  <c r="S8" i="10"/>
  <c r="S14" i="10"/>
  <c r="S20" i="8"/>
  <c r="S9" i="10"/>
  <c r="S8" i="7"/>
  <c r="S17" i="9"/>
  <c r="S10" i="8"/>
  <c r="S10" i="7"/>
  <c r="S18" i="8"/>
  <c r="S11" i="8"/>
  <c r="K21" i="7"/>
  <c r="E16" i="9"/>
  <c r="R15" i="9"/>
  <c r="C27" i="4"/>
  <c r="L24" i="7"/>
  <c r="Q28" i="9"/>
  <c r="K18" i="4"/>
  <c r="R26" i="10"/>
  <c r="P16" i="10"/>
  <c r="H22" i="8"/>
  <c r="F22" i="10"/>
  <c r="E18" i="4"/>
  <c r="D27" i="9"/>
  <c r="A27" i="9" s="1"/>
  <c r="N25" i="4"/>
  <c r="Q21" i="10"/>
  <c r="H27" i="8"/>
  <c r="D23" i="10"/>
  <c r="M23" i="7"/>
  <c r="R27" i="8"/>
  <c r="J20" i="4"/>
  <c r="K19" i="10"/>
  <c r="E24" i="10"/>
  <c r="M25" i="10"/>
  <c r="H6" i="7"/>
  <c r="K19" i="7"/>
  <c r="F16" i="10"/>
  <c r="D26" i="4"/>
  <c r="A26" i="4" s="1"/>
  <c r="E14" i="9"/>
  <c r="F20" i="9"/>
  <c r="K25" i="8"/>
  <c r="D11" i="7"/>
  <c r="A11" i="7" s="1"/>
  <c r="P27" i="8"/>
  <c r="J28" i="7"/>
  <c r="P20" i="10"/>
  <c r="H24" i="4"/>
  <c r="F26" i="4"/>
  <c r="F27" i="7"/>
  <c r="Q29" i="4"/>
  <c r="I18" i="10"/>
  <c r="N23" i="8"/>
  <c r="Q27" i="8"/>
  <c r="M12" i="7"/>
  <c r="J15" i="8"/>
  <c r="K25" i="9"/>
  <c r="C19" i="9"/>
  <c r="H14" i="8"/>
  <c r="R19" i="4"/>
  <c r="R16" i="4"/>
  <c r="D13" i="10"/>
  <c r="N19" i="4"/>
  <c r="K24" i="9"/>
  <c r="Q22" i="4"/>
  <c r="M17" i="7"/>
  <c r="K23" i="7"/>
  <c r="E27" i="7"/>
  <c r="N14" i="10"/>
  <c r="N28" i="8"/>
  <c r="P19" i="10"/>
  <c r="J18" i="8"/>
  <c r="Q25" i="7"/>
  <c r="C23" i="4"/>
  <c r="I20" i="4"/>
  <c r="L17" i="7"/>
  <c r="D18" i="9"/>
  <c r="F22" i="9"/>
  <c r="M25" i="9"/>
  <c r="D20" i="9"/>
  <c r="K19" i="9"/>
  <c r="J26" i="4"/>
  <c r="R21" i="9"/>
  <c r="P11" i="10"/>
  <c r="F28" i="9"/>
  <c r="D27" i="8"/>
  <c r="A27" i="8" s="1"/>
  <c r="D17" i="7"/>
  <c r="A17" i="7" s="1"/>
  <c r="R27" i="10"/>
  <c r="H26" i="7"/>
  <c r="C12" i="10"/>
  <c r="D25" i="4"/>
  <c r="A25" i="4" s="1"/>
  <c r="F29" i="9"/>
  <c r="M13" i="10"/>
  <c r="E25" i="4"/>
  <c r="D21" i="7"/>
  <c r="A21" i="7" s="1"/>
  <c r="L29" i="7"/>
  <c r="F25" i="10"/>
  <c r="I15" i="8"/>
  <c r="K15" i="8"/>
  <c r="M14" i="4"/>
  <c r="M16" i="4"/>
  <c r="H23" i="10"/>
  <c r="R25" i="9"/>
  <c r="E23" i="9"/>
  <c r="M21" i="4"/>
  <c r="I18" i="8"/>
  <c r="M17" i="4"/>
  <c r="J11" i="7"/>
  <c r="J19" i="10"/>
  <c r="R12" i="7"/>
  <c r="J23" i="9"/>
  <c r="F16" i="9"/>
  <c r="M24" i="4"/>
  <c r="G17" i="8"/>
  <c r="K18" i="7"/>
  <c r="J15" i="7"/>
  <c r="D15" i="4"/>
  <c r="C26" i="10"/>
  <c r="J18" i="9"/>
  <c r="C21" i="10"/>
  <c r="J11" i="10"/>
  <c r="D21" i="10"/>
  <c r="L27" i="4"/>
  <c r="M29" i="4"/>
  <c r="G21" i="4"/>
  <c r="F14" i="7"/>
  <c r="G25" i="10"/>
  <c r="C17" i="4"/>
  <c r="I11" i="10"/>
  <c r="L22" i="10"/>
  <c r="G24" i="4"/>
  <c r="J24" i="8"/>
  <c r="F20" i="10"/>
  <c r="M18" i="8"/>
  <c r="R26" i="8"/>
  <c r="C13" i="7"/>
  <c r="L27" i="7"/>
  <c r="P23" i="8"/>
  <c r="I24" i="4"/>
  <c r="D22" i="10"/>
  <c r="N12" i="10"/>
  <c r="R22" i="7"/>
  <c r="K12" i="10"/>
  <c r="E29" i="7"/>
  <c r="F29" i="7"/>
  <c r="Q27" i="9"/>
  <c r="I16" i="8"/>
  <c r="K25" i="7"/>
  <c r="C14" i="10"/>
  <c r="P25" i="4"/>
  <c r="D28" i="7"/>
  <c r="A28" i="7" s="1"/>
  <c r="F13" i="4"/>
  <c r="P29" i="7"/>
  <c r="G18" i="4"/>
  <c r="J24" i="7"/>
  <c r="M14" i="9"/>
  <c r="N19" i="10"/>
  <c r="R20" i="7"/>
  <c r="D11" i="10"/>
  <c r="J24" i="4"/>
  <c r="D17" i="4"/>
  <c r="N13" i="9"/>
  <c r="G26" i="4"/>
  <c r="H20" i="7"/>
  <c r="H21" i="7"/>
  <c r="G24" i="8"/>
  <c r="E17" i="10"/>
  <c r="H27" i="4"/>
  <c r="G18" i="9"/>
  <c r="N29" i="4"/>
  <c r="H28" i="9"/>
  <c r="Q15" i="4"/>
  <c r="L14" i="7"/>
  <c r="R22" i="8"/>
  <c r="D12" i="7"/>
  <c r="A12" i="7" s="1"/>
  <c r="R20" i="9"/>
  <c r="D29" i="7"/>
  <c r="A29" i="7" s="1"/>
  <c r="K12" i="7"/>
  <c r="C18" i="4"/>
  <c r="E16" i="10"/>
  <c r="H19" i="7"/>
  <c r="M24" i="10"/>
  <c r="R29" i="4"/>
  <c r="F16" i="4"/>
  <c r="J20" i="10"/>
  <c r="P12" i="10"/>
  <c r="K26" i="8"/>
  <c r="G13" i="7"/>
  <c r="E13" i="10"/>
  <c r="H28" i="8"/>
  <c r="P24" i="4"/>
  <c r="K23" i="4"/>
  <c r="L16" i="8"/>
  <c r="F28" i="8"/>
  <c r="D15" i="8"/>
  <c r="A15" i="8" s="1"/>
  <c r="M16" i="10"/>
  <c r="P23" i="4"/>
  <c r="K14" i="9"/>
  <c r="C19" i="4"/>
  <c r="P19" i="9"/>
  <c r="L15" i="9"/>
  <c r="H29" i="7"/>
  <c r="E20" i="10"/>
  <c r="I25" i="8"/>
  <c r="R22" i="9"/>
  <c r="F11" i="7"/>
  <c r="R18" i="4"/>
  <c r="E28" i="10"/>
  <c r="P18" i="4"/>
  <c r="L18" i="9"/>
  <c r="G18" i="7"/>
  <c r="J15" i="10"/>
  <c r="P18" i="10"/>
  <c r="L23" i="8"/>
  <c r="G9" i="10"/>
  <c r="P13" i="9"/>
  <c r="L26" i="8"/>
  <c r="G13" i="10"/>
  <c r="R14" i="7"/>
  <c r="I28" i="9"/>
  <c r="G23" i="4"/>
  <c r="D20" i="4"/>
  <c r="A20" i="4" s="1"/>
  <c r="Q14" i="9"/>
  <c r="C11" i="10"/>
  <c r="M26" i="7"/>
  <c r="D14" i="4"/>
  <c r="R16" i="8"/>
  <c r="L25" i="10"/>
  <c r="P16" i="4"/>
  <c r="E27" i="4"/>
  <c r="C16" i="8"/>
  <c r="H13" i="4"/>
  <c r="P21" i="10"/>
  <c r="F23" i="8"/>
  <c r="E24" i="8"/>
  <c r="R22" i="10"/>
  <c r="G21" i="10"/>
  <c r="Q11" i="7"/>
  <c r="G19" i="10"/>
  <c r="M16" i="9"/>
  <c r="C9" i="10"/>
  <c r="N23" i="10"/>
  <c r="M22" i="9"/>
  <c r="N16" i="9"/>
  <c r="M29" i="7"/>
  <c r="C24" i="10"/>
  <c r="J14" i="10"/>
  <c r="C29" i="9"/>
  <c r="J12" i="10"/>
  <c r="P21" i="7"/>
  <c r="I17" i="7"/>
  <c r="C28" i="4"/>
  <c r="D24" i="9"/>
  <c r="A24" i="9" s="1"/>
  <c r="N18" i="10"/>
  <c r="E14" i="10"/>
  <c r="P12" i="7"/>
  <c r="Q21" i="4"/>
  <c r="M24" i="8"/>
  <c r="C27" i="9"/>
  <c r="P16" i="9"/>
  <c r="G12" i="10"/>
  <c r="E26" i="10"/>
  <c r="J18" i="4"/>
  <c r="N17" i="10"/>
  <c r="L28" i="4"/>
  <c r="L22" i="7"/>
  <c r="L9" i="10"/>
  <c r="D15" i="7"/>
  <c r="A15" i="7" s="1"/>
  <c r="I19" i="9"/>
  <c r="R15" i="10"/>
  <c r="L13" i="4"/>
  <c r="J14" i="9"/>
  <c r="F17" i="7"/>
  <c r="I17" i="10"/>
  <c r="P17" i="8"/>
  <c r="E17" i="8"/>
  <c r="H16" i="9"/>
  <c r="C29" i="7"/>
  <c r="E23" i="4"/>
  <c r="M20" i="9"/>
  <c r="P27" i="7"/>
  <c r="P24" i="8"/>
  <c r="E25" i="7"/>
  <c r="R19" i="9"/>
  <c r="I15" i="7"/>
  <c r="G15" i="4"/>
  <c r="G24" i="10"/>
  <c r="J19" i="7"/>
  <c r="M15" i="10"/>
  <c r="I13" i="10"/>
  <c r="C27" i="7"/>
  <c r="C28" i="7"/>
  <c r="E24" i="4"/>
  <c r="N17" i="7"/>
  <c r="I25" i="9"/>
  <c r="Q26" i="9"/>
  <c r="M19" i="9"/>
  <c r="G16" i="10"/>
  <c r="R29" i="9"/>
  <c r="F22" i="4"/>
  <c r="G22" i="8"/>
  <c r="I16" i="4"/>
  <c r="H20" i="10"/>
  <c r="Q26" i="4"/>
  <c r="N27" i="10"/>
  <c r="C14" i="4"/>
  <c r="P28" i="9"/>
  <c r="L15" i="4"/>
  <c r="C12" i="4"/>
  <c r="Q27" i="10"/>
  <c r="L16" i="7"/>
  <c r="P16" i="7"/>
  <c r="D19" i="7"/>
  <c r="A19" i="7" s="1"/>
  <c r="K17" i="10"/>
  <c r="D18" i="8"/>
  <c r="K13" i="10"/>
  <c r="L12" i="10"/>
  <c r="G24" i="9"/>
  <c r="R26" i="9"/>
  <c r="N20" i="7"/>
  <c r="C17" i="8"/>
  <c r="E20" i="4"/>
  <c r="E15" i="9"/>
  <c r="E13" i="7"/>
  <c r="G26" i="9"/>
  <c r="G14" i="10"/>
  <c r="G12" i="4"/>
  <c r="P14" i="9"/>
  <c r="R17" i="8"/>
  <c r="K20" i="7"/>
  <c r="I17" i="4"/>
  <c r="N23" i="4"/>
  <c r="E26" i="8"/>
  <c r="L19" i="4"/>
  <c r="F17" i="4"/>
  <c r="D22" i="7"/>
  <c r="A22" i="7" s="1"/>
  <c r="J29" i="4"/>
  <c r="N18" i="8"/>
  <c r="N25" i="9"/>
  <c r="G28" i="10"/>
  <c r="N13" i="7"/>
  <c r="P23" i="7"/>
  <c r="L23" i="7"/>
  <c r="E9" i="10"/>
  <c r="P17" i="7"/>
  <c r="N14" i="4"/>
  <c r="C19" i="10"/>
  <c r="I17" i="8"/>
  <c r="I16" i="7"/>
  <c r="L20" i="10"/>
  <c r="Q16" i="4"/>
  <c r="L28" i="8"/>
  <c r="D26" i="9"/>
  <c r="A26" i="9" s="1"/>
  <c r="C26" i="7"/>
  <c r="E29" i="9"/>
  <c r="P27" i="4"/>
  <c r="C20" i="4"/>
  <c r="M25" i="7"/>
  <c r="L17" i="8"/>
  <c r="I12" i="7"/>
  <c r="P16" i="8"/>
  <c r="M20" i="7"/>
  <c r="R19" i="7"/>
  <c r="N15" i="10"/>
  <c r="C24" i="4"/>
  <c r="H29" i="9"/>
  <c r="M24" i="7"/>
  <c r="G27" i="10"/>
  <c r="F27" i="4"/>
  <c r="F21" i="4"/>
  <c r="N15" i="4"/>
  <c r="R9" i="10"/>
  <c r="R13" i="7"/>
  <c r="L21" i="10"/>
  <c r="P26" i="4"/>
  <c r="I13" i="4"/>
  <c r="H23" i="7"/>
  <c r="N24" i="7"/>
  <c r="Q16" i="8"/>
  <c r="F20" i="4"/>
  <c r="N13" i="10"/>
  <c r="C24" i="7"/>
  <c r="E28" i="4"/>
  <c r="N9" i="10"/>
  <c r="N24" i="10"/>
  <c r="H25" i="10"/>
  <c r="R15" i="4"/>
  <c r="D20" i="10"/>
  <c r="D23" i="8"/>
  <c r="A23" i="8" s="1"/>
  <c r="R10" i="10"/>
  <c r="J22" i="4"/>
  <c r="K16" i="10"/>
  <c r="C15" i="7"/>
  <c r="J18" i="10"/>
  <c r="K20" i="4"/>
  <c r="H15" i="9"/>
  <c r="H23" i="9"/>
  <c r="G18" i="8"/>
  <c r="K23" i="8"/>
  <c r="J27" i="8"/>
  <c r="G19" i="7"/>
  <c r="P22" i="8"/>
  <c r="L21" i="7"/>
  <c r="J23" i="4"/>
  <c r="D23" i="9"/>
  <c r="A23" i="9" s="1"/>
  <c r="G14" i="7"/>
  <c r="K17" i="4"/>
  <c r="C29" i="4"/>
  <c r="N20" i="10"/>
  <c r="N22" i="7"/>
  <c r="N16" i="7"/>
  <c r="P22" i="10"/>
  <c r="D14" i="9"/>
  <c r="D28" i="10"/>
  <c r="R23" i="4"/>
  <c r="D28" i="8"/>
  <c r="A28" i="8" s="1"/>
  <c r="P18" i="9"/>
  <c r="C25" i="10"/>
  <c r="J17" i="4"/>
  <c r="F12" i="10"/>
  <c r="M25" i="4"/>
  <c r="N22" i="9"/>
  <c r="R14" i="4"/>
  <c r="K16" i="8"/>
  <c r="P15" i="9"/>
  <c r="C13" i="9"/>
  <c r="Q14" i="7"/>
  <c r="H15" i="7"/>
  <c r="G29" i="7"/>
  <c r="G27" i="8"/>
  <c r="E12" i="7"/>
  <c r="P26" i="7"/>
  <c r="P19" i="7"/>
  <c r="H25" i="9"/>
  <c r="I28" i="8"/>
  <c r="F26" i="10"/>
  <c r="R19" i="10"/>
  <c r="E24" i="7"/>
  <c r="P12" i="4"/>
  <c r="E22" i="9"/>
  <c r="K9" i="10"/>
  <c r="K23" i="9"/>
  <c r="G27" i="7"/>
  <c r="M18" i="4"/>
  <c r="H16" i="4"/>
  <c r="Q20" i="10"/>
  <c r="M21" i="10"/>
  <c r="C18" i="9"/>
  <c r="R25" i="7"/>
  <c r="Q22" i="10"/>
  <c r="G22" i="7"/>
  <c r="D29" i="8"/>
  <c r="A29" i="8" s="1"/>
  <c r="M19" i="4"/>
  <c r="L18" i="7"/>
  <c r="F27" i="8"/>
  <c r="N23" i="7"/>
  <c r="E22" i="7"/>
  <c r="N26" i="9"/>
  <c r="Q17" i="8"/>
  <c r="D18" i="10"/>
  <c r="D26" i="10"/>
  <c r="H20" i="9"/>
  <c r="E28" i="7"/>
  <c r="Q23" i="4"/>
  <c r="H14" i="9"/>
  <c r="Q18" i="10"/>
  <c r="N16" i="10"/>
  <c r="N27" i="4"/>
  <c r="L20" i="4"/>
  <c r="Q18" i="8"/>
  <c r="L28" i="10"/>
  <c r="D16" i="9"/>
  <c r="F28" i="4"/>
  <c r="D14" i="7"/>
  <c r="A14" i="7" s="1"/>
  <c r="M11" i="7"/>
  <c r="G26" i="8"/>
  <c r="L25" i="8"/>
  <c r="K18" i="10"/>
  <c r="K22" i="9"/>
  <c r="Q9" i="10"/>
  <c r="H12" i="7"/>
  <c r="Q22" i="7"/>
  <c r="F17" i="8"/>
  <c r="R29" i="7"/>
  <c r="H20" i="4"/>
  <c r="N22" i="8"/>
  <c r="P20" i="7"/>
  <c r="F17" i="10"/>
  <c r="P9" i="10"/>
  <c r="G21" i="7"/>
  <c r="H13" i="7"/>
  <c r="D22" i="9"/>
  <c r="M18" i="10"/>
  <c r="M19" i="10"/>
  <c r="N17" i="4"/>
  <c r="G15" i="7"/>
  <c r="C11" i="7"/>
  <c r="D25" i="7"/>
  <c r="A25" i="7" s="1"/>
  <c r="G20" i="10"/>
  <c r="G16" i="9"/>
  <c r="F23" i="4"/>
  <c r="G18" i="10"/>
  <c r="D12" i="4"/>
  <c r="A12" i="4" s="1"/>
  <c r="J28" i="9"/>
  <c r="F25" i="9"/>
  <c r="H22" i="7"/>
  <c r="R12" i="10"/>
  <c r="C10" i="10"/>
  <c r="K18" i="8"/>
  <c r="D27" i="4"/>
  <c r="A27" i="4" s="1"/>
  <c r="Q18" i="9"/>
  <c r="J15" i="9"/>
  <c r="H24" i="10"/>
  <c r="F23" i="9"/>
  <c r="R11" i="7"/>
  <c r="I21" i="10"/>
  <c r="R21" i="4"/>
  <c r="F11" i="10"/>
  <c r="G19" i="9"/>
  <c r="I13" i="9"/>
  <c r="D29" i="4"/>
  <c r="A29" i="4" s="1"/>
  <c r="D28" i="9"/>
  <c r="A28" i="9" s="1"/>
  <c r="P11" i="7"/>
  <c r="L15" i="7"/>
  <c r="D19" i="4"/>
  <c r="A19" i="4" s="1"/>
  <c r="E15" i="7"/>
  <c r="G24" i="7"/>
  <c r="R13" i="10"/>
  <c r="M12" i="4"/>
  <c r="M23" i="8"/>
  <c r="L26" i="9"/>
  <c r="D29" i="9"/>
  <c r="A29" i="9" s="1"/>
  <c r="N18" i="4"/>
  <c r="F12" i="4"/>
  <c r="L13" i="9"/>
  <c r="G29" i="9"/>
  <c r="J22" i="10"/>
  <c r="K19" i="4"/>
  <c r="H24" i="7"/>
  <c r="Q16" i="7"/>
  <c r="C15" i="4"/>
  <c r="M28" i="9"/>
  <c r="J17" i="8"/>
  <c r="P20" i="4"/>
  <c r="N28" i="4"/>
  <c r="F18" i="10"/>
  <c r="D27" i="7"/>
  <c r="A27" i="7" s="1"/>
  <c r="F18" i="9"/>
  <c r="J12" i="7"/>
  <c r="J28" i="4"/>
  <c r="K27" i="9"/>
  <c r="H23" i="4"/>
  <c r="L22" i="8"/>
  <c r="D19" i="10"/>
  <c r="F15" i="10"/>
  <c r="L21" i="4"/>
  <c r="N14" i="7"/>
  <c r="H24" i="9"/>
  <c r="M24" i="9"/>
  <c r="H14" i="10"/>
  <c r="E20" i="7"/>
  <c r="I25" i="4"/>
  <c r="E14" i="7"/>
  <c r="F24" i="10"/>
  <c r="E25" i="10"/>
  <c r="C29" i="8"/>
  <c r="I16" i="10"/>
  <c r="D26" i="7"/>
  <c r="A26" i="7" s="1"/>
  <c r="E16" i="8"/>
  <c r="E11" i="7"/>
  <c r="E15" i="4"/>
  <c r="M27" i="4"/>
  <c r="G11" i="10"/>
  <c r="K14" i="4"/>
  <c r="I22" i="10"/>
  <c r="C25" i="7"/>
  <c r="N25" i="7"/>
  <c r="K29" i="8"/>
  <c r="I15" i="10"/>
  <c r="L12" i="4"/>
  <c r="J19" i="4"/>
  <c r="R17" i="7"/>
  <c r="I27" i="8"/>
  <c r="H21" i="4"/>
  <c r="P26" i="9"/>
  <c r="K18" i="9"/>
  <c r="J23" i="7"/>
  <c r="I9" i="10"/>
  <c r="L19" i="9"/>
  <c r="E27" i="8"/>
  <c r="M19" i="7"/>
  <c r="D18" i="4"/>
  <c r="A18" i="4" s="1"/>
  <c r="K23" i="10"/>
  <c r="K22" i="10"/>
  <c r="F26" i="8"/>
  <c r="J25" i="8"/>
  <c r="I26" i="10"/>
  <c r="L15" i="10"/>
  <c r="J29" i="9"/>
  <c r="G25" i="7"/>
  <c r="P28" i="10"/>
  <c r="M23" i="4"/>
  <c r="E22" i="10"/>
  <c r="R24" i="10"/>
  <c r="F29" i="4"/>
  <c r="J22" i="9"/>
  <c r="P14" i="10"/>
  <c r="K21" i="10"/>
  <c r="D26" i="8"/>
  <c r="A26" i="8" s="1"/>
  <c r="K11" i="7"/>
  <c r="D25" i="8"/>
  <c r="A25" i="8" s="1"/>
  <c r="H22" i="4"/>
  <c r="H27" i="9"/>
  <c r="K22" i="7"/>
  <c r="L17" i="10"/>
  <c r="H21" i="10"/>
  <c r="H22" i="9"/>
  <c r="J28" i="10"/>
  <c r="L13" i="7"/>
  <c r="C22" i="4"/>
  <c r="J26" i="10"/>
  <c r="L26" i="4"/>
  <c r="E19" i="7"/>
  <c r="C28" i="9"/>
  <c r="Q19" i="9"/>
  <c r="E16" i="7"/>
  <c r="L28" i="7"/>
  <c r="N12" i="7"/>
  <c r="I24" i="9"/>
  <c r="N21" i="7"/>
  <c r="Q25" i="8"/>
  <c r="D28" i="4"/>
  <c r="A28" i="4" s="1"/>
  <c r="E19" i="9"/>
  <c r="I29" i="9"/>
  <c r="D14" i="10"/>
  <c r="N21" i="4"/>
  <c r="Q24" i="10"/>
  <c r="H13" i="10"/>
  <c r="I26" i="9"/>
  <c r="I18" i="9"/>
  <c r="J12" i="4"/>
  <c r="I27" i="4"/>
  <c r="M21" i="7"/>
  <c r="F16" i="8"/>
  <c r="G20" i="9"/>
  <c r="D20" i="7"/>
  <c r="A20" i="7" s="1"/>
  <c r="Q24" i="9"/>
  <c r="I19" i="7"/>
  <c r="L20" i="7"/>
  <c r="R25" i="10"/>
  <c r="I28" i="7"/>
  <c r="J25" i="7"/>
  <c r="D24" i="7"/>
  <c r="A24" i="7" s="1"/>
  <c r="G13" i="4"/>
  <c r="P17" i="4"/>
  <c r="J22" i="7"/>
  <c r="M13" i="4"/>
  <c r="K15" i="4"/>
  <c r="E12" i="4"/>
  <c r="E25" i="8"/>
  <c r="Q29" i="7"/>
  <c r="K13" i="9"/>
  <c r="N24" i="9"/>
  <c r="E18" i="10"/>
  <c r="H15" i="4"/>
  <c r="Q25" i="9"/>
  <c r="I19" i="10"/>
  <c r="M28" i="8"/>
  <c r="E21" i="10"/>
  <c r="J13" i="4"/>
  <c r="K16" i="7"/>
  <c r="N25" i="10"/>
  <c r="C17" i="10"/>
  <c r="C22" i="9"/>
  <c r="H29" i="8"/>
  <c r="K25" i="10"/>
  <c r="D22" i="8"/>
  <c r="A22" i="8" s="1"/>
  <c r="I18" i="7"/>
  <c r="M16" i="8"/>
  <c r="H13" i="9"/>
  <c r="G19" i="4"/>
  <c r="Q17" i="10"/>
  <c r="D19" i="9"/>
  <c r="J13" i="10"/>
  <c r="H16" i="8"/>
  <c r="D13" i="9"/>
  <c r="A13" i="9" s="1"/>
  <c r="F27" i="9"/>
  <c r="N26" i="4"/>
  <c r="L23" i="10"/>
  <c r="D21" i="4"/>
  <c r="A21" i="4" s="1"/>
  <c r="Q23" i="7"/>
  <c r="K11" i="10"/>
  <c r="M22" i="10"/>
  <c r="G22" i="9"/>
  <c r="L26" i="7"/>
  <c r="E13" i="9"/>
  <c r="L16" i="4"/>
  <c r="C15" i="10"/>
  <c r="F19" i="4"/>
  <c r="N20" i="4"/>
  <c r="G28" i="4"/>
  <c r="C20" i="7"/>
  <c r="D15" i="10"/>
  <c r="Q18" i="4"/>
  <c r="K17" i="7"/>
  <c r="F26" i="9"/>
  <c r="R21" i="10"/>
  <c r="H12" i="10"/>
  <c r="F15" i="7"/>
  <c r="J24" i="10"/>
  <c r="M14" i="7"/>
  <c r="N24" i="4"/>
  <c r="F29" i="8"/>
  <c r="Q16" i="10"/>
  <c r="F15" i="9"/>
  <c r="J27" i="4"/>
  <c r="G14" i="4"/>
  <c r="C18" i="8"/>
  <c r="M9" i="10"/>
  <c r="N15" i="9"/>
  <c r="Q17" i="7"/>
  <c r="N19" i="9"/>
  <c r="F20" i="7"/>
  <c r="D10" i="10"/>
  <c r="A10" i="10" s="1"/>
  <c r="R23" i="8"/>
  <c r="R14" i="10"/>
  <c r="Q13" i="7"/>
  <c r="L18" i="4"/>
  <c r="P22" i="4"/>
  <c r="F21" i="10"/>
  <c r="K24" i="8"/>
  <c r="L13" i="10"/>
  <c r="G20" i="4"/>
  <c r="H23" i="8"/>
  <c r="K26" i="7"/>
  <c r="I28" i="4"/>
  <c r="L12" i="7"/>
  <c r="K28" i="9"/>
  <c r="K29" i="7"/>
  <c r="R23" i="7"/>
  <c r="R26" i="7"/>
  <c r="K16" i="9"/>
  <c r="D24" i="4"/>
  <c r="A24" i="4" s="1"/>
  <c r="C22" i="8"/>
  <c r="E15" i="10"/>
  <c r="C23" i="9"/>
  <c r="K28" i="7"/>
  <c r="N29" i="7"/>
  <c r="N17" i="8"/>
  <c r="K24" i="10"/>
  <c r="L11" i="7"/>
  <c r="H24" i="8"/>
  <c r="L19" i="7"/>
  <c r="L18" i="10"/>
  <c r="F13" i="9"/>
  <c r="P29" i="4"/>
  <c r="C18" i="10"/>
  <c r="F13" i="10"/>
  <c r="F25" i="8"/>
  <c r="I18" i="4"/>
  <c r="D24" i="8"/>
  <c r="A24" i="8" s="1"/>
  <c r="Q24" i="4"/>
  <c r="K12" i="4"/>
  <c r="I20" i="7"/>
  <c r="M23" i="9"/>
  <c r="I15" i="4"/>
  <c r="H25" i="4"/>
  <c r="P29" i="9"/>
  <c r="Q25" i="10"/>
  <c r="L24" i="10"/>
  <c r="R13" i="9"/>
  <c r="R23" i="9"/>
  <c r="L11" i="10"/>
  <c r="D13" i="7"/>
  <c r="A13" i="7" s="1"/>
  <c r="Q13" i="10"/>
  <c r="F19" i="9"/>
  <c r="C27" i="10"/>
  <c r="N28" i="9"/>
  <c r="R20" i="10"/>
  <c r="R23" i="10"/>
  <c r="J17" i="10"/>
  <c r="Q12" i="7"/>
  <c r="F14" i="4"/>
  <c r="C25" i="4"/>
  <c r="M18" i="7"/>
  <c r="I29" i="8"/>
  <c r="D25" i="10"/>
  <c r="M14" i="10"/>
  <c r="Q24" i="8"/>
  <c r="M26" i="4"/>
  <c r="H14" i="7"/>
  <c r="I11" i="7"/>
  <c r="Q28" i="4"/>
  <c r="P18" i="7"/>
  <c r="C16" i="4"/>
  <c r="J16" i="9"/>
  <c r="L24" i="4"/>
  <c r="L14" i="9"/>
  <c r="R28" i="4"/>
  <c r="M27" i="9"/>
  <c r="H9" i="10"/>
  <c r="N22" i="10"/>
  <c r="E26" i="9"/>
  <c r="L29" i="9"/>
  <c r="E19" i="4"/>
  <c r="Q21" i="7"/>
  <c r="M20" i="10"/>
  <c r="Q15" i="7"/>
  <c r="P19" i="4"/>
  <c r="D23" i="4"/>
  <c r="A23" i="4" s="1"/>
  <c r="D22" i="4"/>
  <c r="A22" i="4" s="1"/>
  <c r="F15" i="4"/>
  <c r="D25" i="9"/>
  <c r="A25" i="9" s="1"/>
  <c r="J24" i="9"/>
  <c r="J13" i="9"/>
  <c r="K27" i="8"/>
  <c r="D23" i="7"/>
  <c r="A23" i="7" s="1"/>
  <c r="J27" i="9"/>
  <c r="I22" i="4"/>
  <c r="P22" i="7"/>
  <c r="H17" i="8"/>
  <c r="J16" i="4"/>
  <c r="E19" i="10"/>
  <c r="H17" i="4"/>
  <c r="E18" i="8"/>
  <c r="R21" i="7"/>
  <c r="G20" i="7"/>
  <c r="Q29" i="8"/>
  <c r="K15" i="9"/>
  <c r="P25" i="10"/>
  <c r="N23" i="9"/>
  <c r="M20" i="4"/>
  <c r="K26" i="10"/>
  <c r="L14" i="10"/>
  <c r="Q25" i="4"/>
  <c r="H25" i="7"/>
  <c r="Q14" i="10"/>
  <c r="D16" i="10"/>
  <c r="K24" i="7"/>
  <c r="G10" i="10"/>
  <c r="I26" i="4"/>
  <c r="N22" i="4"/>
  <c r="F24" i="4"/>
  <c r="Q23" i="9"/>
  <c r="K13" i="4"/>
  <c r="Q18" i="7"/>
  <c r="R28" i="7"/>
  <c r="Q16" i="9"/>
  <c r="G16" i="4"/>
  <c r="P10" i="10"/>
  <c r="P13" i="7"/>
  <c r="Q28" i="10"/>
  <c r="D27" i="10"/>
  <c r="N14" i="9"/>
  <c r="I19" i="4"/>
  <c r="I28" i="10"/>
  <c r="Q20" i="4"/>
  <c r="R24" i="4"/>
  <c r="G28" i="9"/>
  <c r="P28" i="8"/>
  <c r="P18" i="8"/>
  <c r="K17" i="8"/>
  <c r="L16" i="9"/>
  <c r="R27" i="4"/>
  <c r="G14" i="9"/>
  <c r="J13" i="7"/>
  <c r="M16" i="7"/>
  <c r="I22" i="9"/>
  <c r="M22" i="7"/>
  <c r="J9" i="10"/>
  <c r="P26" i="8"/>
  <c r="N26" i="8"/>
  <c r="G12" i="7"/>
  <c r="I26" i="7"/>
  <c r="N13" i="4"/>
  <c r="N29" i="8"/>
  <c r="L22" i="9"/>
  <c r="N12" i="4"/>
  <c r="N29" i="9"/>
  <c r="G17" i="4"/>
  <c r="R25" i="4"/>
  <c r="H18" i="10"/>
  <c r="G25" i="9"/>
  <c r="J19" i="9"/>
  <c r="F10" i="10"/>
  <c r="D13" i="4"/>
  <c r="A13" i="4" s="1"/>
  <c r="J28" i="8"/>
  <c r="M17" i="10"/>
  <c r="R24" i="7"/>
  <c r="J20" i="7"/>
  <c r="G25" i="8"/>
  <c r="G17" i="10"/>
  <c r="J29" i="7"/>
  <c r="F18" i="4"/>
  <c r="J16" i="8"/>
  <c r="J20" i="9"/>
  <c r="I26" i="8"/>
  <c r="E17" i="4"/>
  <c r="I29" i="7"/>
  <c r="G27" i="9"/>
  <c r="H26" i="9"/>
  <c r="P21" i="4"/>
  <c r="N16" i="8"/>
  <c r="P28" i="7"/>
  <c r="P15" i="7"/>
  <c r="C20" i="9"/>
  <c r="J21" i="10"/>
  <c r="G15" i="9"/>
  <c r="N18" i="9"/>
  <c r="L29" i="8"/>
  <c r="D17" i="8"/>
  <c r="P24" i="7"/>
  <c r="K15" i="10"/>
  <c r="I14" i="4"/>
  <c r="G16" i="7"/>
  <c r="J22" i="8"/>
  <c r="E21" i="7"/>
  <c r="Q11" i="10"/>
  <c r="L18" i="8"/>
  <c r="Q26" i="8"/>
  <c r="J14" i="4"/>
  <c r="G26" i="10"/>
  <c r="K29" i="9"/>
  <c r="K28" i="4"/>
  <c r="G13" i="9"/>
  <c r="R27" i="9"/>
  <c r="H17" i="7"/>
  <c r="E22" i="8"/>
  <c r="H22" i="10"/>
  <c r="P27" i="10"/>
  <c r="H28" i="4"/>
  <c r="M26" i="8"/>
  <c r="Q26" i="10"/>
  <c r="M26" i="10"/>
  <c r="C27" i="8"/>
  <c r="Q19" i="4"/>
  <c r="M28" i="4"/>
  <c r="I21" i="4"/>
  <c r="Q23" i="10"/>
  <c r="Q17" i="4"/>
  <c r="C21" i="7"/>
  <c r="L24" i="9"/>
  <c r="M28" i="7"/>
  <c r="E14" i="4"/>
  <c r="R15" i="7"/>
  <c r="Q20" i="9"/>
  <c r="C13" i="10"/>
  <c r="I21" i="7"/>
  <c r="D16" i="7"/>
  <c r="A16" i="7" s="1"/>
  <c r="M27" i="8"/>
  <c r="Q19" i="10"/>
  <c r="I27" i="9"/>
  <c r="I14" i="9"/>
  <c r="C26" i="4"/>
  <c r="G22" i="4"/>
  <c r="N26" i="7"/>
  <c r="H28" i="7"/>
  <c r="R17" i="4"/>
  <c r="K13" i="7"/>
  <c r="C15" i="9"/>
  <c r="D12" i="10"/>
  <c r="I22" i="8"/>
  <c r="J16" i="10"/>
  <c r="L20" i="9"/>
  <c r="P29" i="8"/>
  <c r="D18" i="7"/>
  <c r="A18" i="7" s="1"/>
  <c r="N10" i="10"/>
  <c r="K14" i="7"/>
  <c r="C12" i="7"/>
  <c r="G27" i="4"/>
  <c r="L25" i="7"/>
  <c r="P14" i="7"/>
  <c r="L22" i="4"/>
  <c r="L23" i="4"/>
  <c r="K26" i="4"/>
  <c r="Q27" i="7"/>
  <c r="Q12" i="4"/>
  <c r="C13" i="4"/>
  <c r="Q15" i="9"/>
  <c r="L16" i="10"/>
  <c r="G26" i="7"/>
  <c r="C28" i="10"/>
  <c r="E27" i="9"/>
  <c r="C23" i="8"/>
  <c r="E29" i="8"/>
  <c r="N11" i="7"/>
  <c r="N19" i="7"/>
  <c r="K15" i="7"/>
  <c r="F24" i="8"/>
  <c r="R18" i="7"/>
  <c r="H18" i="7"/>
  <c r="H19" i="9"/>
  <c r="H26" i="10"/>
  <c r="P23" i="10"/>
  <c r="F18" i="8"/>
  <c r="P13" i="10"/>
  <c r="J27" i="10"/>
  <c r="D17" i="10"/>
  <c r="H11" i="10"/>
  <c r="C14" i="9"/>
  <c r="N20" i="9"/>
  <c r="E27" i="10"/>
  <c r="N24" i="8"/>
  <c r="J25" i="10"/>
  <c r="K24" i="4"/>
  <c r="L27" i="8"/>
  <c r="M15" i="9"/>
  <c r="C19" i="7"/>
  <c r="P22" i="9"/>
  <c r="G23" i="10"/>
  <c r="P15" i="4"/>
  <c r="J15" i="4"/>
  <c r="M23" i="10"/>
  <c r="G15" i="10"/>
  <c r="N27" i="7"/>
  <c r="L28" i="9"/>
  <c r="K28" i="10"/>
  <c r="R18" i="9"/>
  <c r="G16" i="8"/>
  <c r="I23" i="8"/>
  <c r="F28" i="10"/>
  <c r="K27" i="4"/>
  <c r="M22" i="4"/>
  <c r="R16" i="7"/>
  <c r="E18" i="9"/>
  <c r="F16" i="7"/>
  <c r="K25" i="4"/>
  <c r="R28" i="9"/>
  <c r="M27" i="7"/>
  <c r="L29" i="4"/>
  <c r="R11" i="10"/>
  <c r="R29" i="8"/>
  <c r="R18" i="10"/>
  <c r="R13" i="4"/>
  <c r="P24" i="10"/>
  <c r="E29" i="4"/>
  <c r="M10" i="10"/>
  <c r="H29" i="4"/>
  <c r="C21" i="4"/>
  <c r="E10" i="10"/>
  <c r="C18" i="7"/>
  <c r="N27" i="9"/>
  <c r="R28" i="10"/>
  <c r="C24" i="9"/>
  <c r="P17" i="10"/>
  <c r="I13" i="7"/>
  <c r="L23" i="9"/>
  <c r="H28" i="10"/>
  <c r="J10" i="10"/>
  <c r="H19" i="4"/>
  <c r="P28" i="4"/>
  <c r="E18" i="7"/>
  <c r="H10" i="10"/>
  <c r="M22" i="8"/>
  <c r="J29" i="8"/>
  <c r="I16" i="9"/>
  <c r="I12" i="4"/>
  <c r="L17" i="4"/>
  <c r="K20" i="9"/>
  <c r="F14" i="10"/>
  <c r="N11" i="10"/>
  <c r="F21" i="7"/>
  <c r="F26" i="7"/>
  <c r="R20" i="4"/>
  <c r="E26" i="7"/>
  <c r="E23" i="8"/>
  <c r="I14" i="10"/>
  <c r="G17" i="7"/>
  <c r="C28" i="8"/>
  <c r="P24" i="9"/>
  <c r="F24" i="7"/>
  <c r="K22" i="4"/>
  <c r="C23" i="7"/>
  <c r="N16" i="4"/>
  <c r="P27" i="9"/>
  <c r="Q15" i="10"/>
  <c r="J18" i="7"/>
  <c r="D24" i="10"/>
  <c r="R16" i="9"/>
  <c r="Q27" i="4"/>
  <c r="H26" i="4"/>
  <c r="C25" i="8"/>
  <c r="J27" i="7"/>
  <c r="G29" i="8"/>
  <c r="Q24" i="7"/>
  <c r="C25" i="9"/>
  <c r="C14" i="7"/>
  <c r="K29" i="4"/>
  <c r="F25" i="4"/>
  <c r="P25" i="8"/>
  <c r="K27" i="7"/>
  <c r="Q10" i="10"/>
  <c r="F13" i="7"/>
  <c r="C24" i="8"/>
  <c r="M17" i="8"/>
  <c r="M18" i="9"/>
  <c r="C16" i="7"/>
  <c r="K21" i="4"/>
  <c r="N18" i="7"/>
  <c r="F23" i="7"/>
  <c r="E24" i="9"/>
  <c r="N28" i="10"/>
  <c r="M26" i="9"/>
  <c r="R14" i="9"/>
  <c r="H18" i="4"/>
  <c r="G23" i="7"/>
  <c r="G29" i="4"/>
  <c r="E23" i="7"/>
  <c r="M11" i="10"/>
  <c r="F14" i="9"/>
  <c r="F19" i="7"/>
  <c r="Q13" i="4"/>
  <c r="L24" i="8"/>
  <c r="J26" i="7"/>
  <c r="J23" i="10"/>
  <c r="F27" i="10"/>
  <c r="Q22" i="8"/>
  <c r="G11" i="7"/>
  <c r="Q20" i="7"/>
  <c r="K14" i="10"/>
  <c r="R24" i="9"/>
  <c r="L14" i="4"/>
  <c r="R12" i="4"/>
  <c r="J26" i="8"/>
  <c r="M12" i="10"/>
  <c r="H27" i="10"/>
  <c r="I25" i="10"/>
  <c r="P26" i="10"/>
  <c r="P14" i="4"/>
  <c r="J25" i="4"/>
  <c r="M15" i="7"/>
  <c r="I20" i="10"/>
  <c r="D16" i="8"/>
  <c r="Q28" i="7"/>
  <c r="J25" i="9"/>
  <c r="H16" i="7"/>
  <c r="I25" i="7"/>
  <c r="H16" i="10"/>
  <c r="D16" i="4"/>
  <c r="P15" i="10"/>
  <c r="E11" i="10"/>
  <c r="C16" i="9"/>
  <c r="E28" i="9"/>
  <c r="E26" i="4"/>
  <c r="D15" i="9"/>
  <c r="L25" i="4"/>
  <c r="G28" i="7"/>
  <c r="N15" i="7"/>
  <c r="F22" i="7"/>
  <c r="Q28" i="8"/>
  <c r="C16" i="10"/>
  <c r="L27" i="10"/>
  <c r="Q29" i="9"/>
  <c r="R16" i="10"/>
  <c r="M27" i="10"/>
  <c r="M13" i="9"/>
  <c r="K22" i="8"/>
  <c r="R28" i="8"/>
  <c r="G22" i="10"/>
  <c r="I29" i="4"/>
  <c r="P23" i="9"/>
  <c r="C17" i="7"/>
  <c r="M29" i="8"/>
  <c r="J26" i="9"/>
  <c r="N26" i="10"/>
  <c r="K10" i="10"/>
  <c r="F25" i="7"/>
  <c r="I14" i="7"/>
  <c r="E13" i="4"/>
  <c r="H18" i="9"/>
  <c r="R24" i="8"/>
  <c r="J21" i="7"/>
  <c r="I10" i="10"/>
  <c r="H17" i="10"/>
  <c r="I24" i="8"/>
  <c r="H25" i="8"/>
  <c r="Q14" i="4"/>
  <c r="R22" i="4"/>
  <c r="G25" i="4"/>
  <c r="K27" i="10"/>
  <c r="L27" i="9"/>
  <c r="Q23" i="8"/>
  <c r="F22" i="8"/>
  <c r="L19" i="10"/>
  <c r="I27" i="7"/>
  <c r="E28" i="8"/>
  <c r="C26" i="9"/>
  <c r="M13" i="7"/>
  <c r="P20" i="9"/>
  <c r="Q13" i="9"/>
  <c r="E12" i="10"/>
  <c r="R27" i="7"/>
  <c r="I24" i="10"/>
  <c r="F23" i="10"/>
  <c r="C23" i="10"/>
  <c r="N28" i="7"/>
  <c r="M25" i="8"/>
  <c r="K28" i="8"/>
  <c r="N21" i="10"/>
  <c r="J17" i="7"/>
  <c r="F12" i="7"/>
  <c r="K20" i="10"/>
  <c r="I23" i="9"/>
  <c r="I12" i="10"/>
  <c r="R18" i="8"/>
  <c r="H18" i="8"/>
  <c r="G23" i="8"/>
  <c r="J23" i="8"/>
  <c r="E20" i="9"/>
  <c r="C22" i="10"/>
  <c r="K26" i="9"/>
  <c r="K16" i="4"/>
  <c r="P25" i="9"/>
  <c r="I15" i="9"/>
  <c r="L10" i="10"/>
  <c r="G23" i="9"/>
  <c r="H14" i="4"/>
  <c r="M29" i="9"/>
  <c r="P25" i="7"/>
  <c r="Q26" i="7"/>
  <c r="Q19" i="7"/>
  <c r="F28" i="7"/>
  <c r="I20" i="9"/>
  <c r="M28" i="10"/>
  <c r="L26" i="10"/>
  <c r="C26" i="8"/>
  <c r="R17" i="10"/>
  <c r="H12" i="4"/>
  <c r="E23" i="10"/>
  <c r="N27" i="8"/>
  <c r="F18" i="7"/>
  <c r="Q12" i="10"/>
  <c r="J21" i="4"/>
  <c r="E21" i="4"/>
  <c r="J16" i="7"/>
  <c r="H15" i="10"/>
  <c r="J14" i="7"/>
  <c r="C20" i="10"/>
  <c r="I23" i="10"/>
  <c r="H19" i="10"/>
  <c r="M15" i="4"/>
  <c r="F24" i="9"/>
  <c r="R25" i="8"/>
  <c r="I24" i="7"/>
  <c r="E16" i="4"/>
  <c r="L25" i="9"/>
  <c r="C22" i="7"/>
  <c r="I22" i="7"/>
  <c r="E17" i="7"/>
  <c r="F19" i="10"/>
  <c r="G28" i="8"/>
  <c r="E22" i="4"/>
  <c r="I27" i="10"/>
  <c r="P13" i="4"/>
  <c r="I23" i="7"/>
  <c r="E25" i="9"/>
  <c r="H26" i="8"/>
  <c r="I23" i="4"/>
  <c r="N25" i="8"/>
  <c r="H27" i="7"/>
  <c r="H11" i="7"/>
  <c r="T1" i="7" l="1"/>
  <c r="T3" i="7"/>
  <c r="T2" i="7"/>
  <c r="T1" i="8"/>
  <c r="T3" i="8"/>
  <c r="T2" i="8"/>
  <c r="T2" i="9"/>
  <c r="T1" i="9"/>
  <c r="T3" i="9"/>
  <c r="T3" i="4"/>
  <c r="T2" i="4"/>
  <c r="T1" i="4"/>
  <c r="T1" i="10"/>
  <c r="T3" i="10"/>
  <c r="T2" i="10"/>
  <c r="P1" i="4"/>
  <c r="P1" i="9"/>
  <c r="P1" i="7"/>
  <c r="A16" i="8"/>
  <c r="A17" i="8" s="1"/>
  <c r="A18" i="8" s="1"/>
  <c r="A19" i="8" s="1"/>
  <c r="A20" i="8" s="1"/>
  <c r="A21" i="8" s="1"/>
  <c r="P1" i="8"/>
  <c r="L1" i="10"/>
  <c r="L1" i="9"/>
  <c r="A14" i="4"/>
  <c r="A15" i="4" s="1"/>
  <c r="A16" i="4" s="1"/>
  <c r="A17" i="4" s="1"/>
  <c r="L1" i="7"/>
  <c r="A14" i="9"/>
  <c r="A15" i="9" s="1"/>
  <c r="A16" i="9" s="1"/>
  <c r="A17" i="9" s="1"/>
  <c r="A18" i="9" s="1"/>
  <c r="A19" i="9" s="1"/>
  <c r="A20" i="9" s="1"/>
  <c r="A21" i="9" s="1"/>
  <c r="A22" i="9" s="1"/>
  <c r="H1" i="9" s="1"/>
  <c r="L1" i="8"/>
  <c r="L1" i="4"/>
  <c r="A11" i="10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H1" i="10" s="1"/>
  <c r="P1" i="10"/>
  <c r="H1" i="7"/>
  <c r="H1" i="8" l="1"/>
  <c r="H1" i="4"/>
</calcChain>
</file>

<file path=xl/sharedStrings.xml><?xml version="1.0" encoding="utf-8"?>
<sst xmlns="http://schemas.openxmlformats.org/spreadsheetml/2006/main" count="1154" uniqueCount="276">
  <si>
    <t>SUBJECT MASTER</t>
  </si>
  <si>
    <t>TOPIC MASTER</t>
  </si>
  <si>
    <r>
      <t>Subject Name:</t>
    </r>
    <r>
      <rPr>
        <b/>
        <sz val="11"/>
        <color rgb="FFC9302C"/>
        <rFont val="Segoe UI"/>
        <family val="2"/>
      </rPr>
      <t> *</t>
    </r>
  </si>
  <si>
    <t>100 Chrs</t>
  </si>
  <si>
    <t>Maths</t>
  </si>
  <si>
    <t>Science</t>
  </si>
  <si>
    <t>Sports</t>
  </si>
  <si>
    <r>
      <t>Subject Name: </t>
    </r>
    <r>
      <rPr>
        <b/>
        <sz val="11"/>
        <color rgb="FFFF0000"/>
        <rFont val="Segoe UI"/>
        <family val="2"/>
      </rPr>
      <t>*</t>
    </r>
  </si>
  <si>
    <r>
      <t>Topic Name:</t>
    </r>
    <r>
      <rPr>
        <sz val="11"/>
        <color rgb="FFC9302C"/>
        <rFont val="Segoe UI"/>
        <family val="2"/>
      </rPr>
      <t> *</t>
    </r>
  </si>
  <si>
    <t>Subject Description:</t>
  </si>
  <si>
    <t>Topic Description:</t>
  </si>
  <si>
    <t>Topic List Name</t>
  </si>
  <si>
    <t>Decimals</t>
  </si>
  <si>
    <t>Measurement</t>
  </si>
  <si>
    <t>Addition/ Subtraction</t>
  </si>
  <si>
    <t>Time</t>
  </si>
  <si>
    <t>Numbers</t>
  </si>
  <si>
    <t>Plants</t>
  </si>
  <si>
    <t>Animals</t>
  </si>
  <si>
    <t>Food</t>
  </si>
  <si>
    <t>Our Universe</t>
  </si>
  <si>
    <t>Our Body</t>
  </si>
  <si>
    <t>Countries and Capitals</t>
  </si>
  <si>
    <t>GK</t>
  </si>
  <si>
    <t>India</t>
  </si>
  <si>
    <t>Asia</t>
  </si>
  <si>
    <t>Inventions</t>
  </si>
  <si>
    <t>Oceans, Seas, Rivers</t>
  </si>
  <si>
    <t>Olympics</t>
  </si>
  <si>
    <t>National Games</t>
  </si>
  <si>
    <t>Cricket</t>
  </si>
  <si>
    <t>Athletics</t>
  </si>
  <si>
    <t>QUESTION BANK LIBRARY</t>
  </si>
  <si>
    <r>
      <t>Question Description</t>
    </r>
    <r>
      <rPr>
        <b/>
        <sz val="11"/>
        <color rgb="FFC9302C"/>
        <rFont val="Segoe UI"/>
        <family val="2"/>
      </rPr>
      <t> *</t>
    </r>
  </si>
  <si>
    <t>1500 Chrs</t>
  </si>
  <si>
    <t>Mention Objective/ Relevance in Assessment</t>
  </si>
  <si>
    <t>Question Hint</t>
  </si>
  <si>
    <r>
      <t>Correct Answer</t>
    </r>
    <r>
      <rPr>
        <b/>
        <sz val="11"/>
        <color rgb="FFFF0000"/>
        <rFont val="Segoe UI"/>
        <family val="2"/>
      </rPr>
      <t>*</t>
    </r>
  </si>
  <si>
    <r>
      <t>Select Expected Response Type - Multiple Choice Selection</t>
    </r>
    <r>
      <rPr>
        <b/>
        <sz val="11"/>
        <color rgb="FFFF0000"/>
        <rFont val="Segoe UI"/>
        <family val="2"/>
      </rPr>
      <t>* (Min 2)</t>
    </r>
  </si>
  <si>
    <r>
      <t>1</t>
    </r>
    <r>
      <rPr>
        <b/>
        <sz val="11"/>
        <color rgb="FFFF0000"/>
        <rFont val="Segoe UI"/>
        <family val="2"/>
      </rPr>
      <t>*</t>
    </r>
  </si>
  <si>
    <r>
      <t>2</t>
    </r>
    <r>
      <rPr>
        <b/>
        <sz val="11"/>
        <color rgb="FFFF0000"/>
        <rFont val="Segoe UI"/>
        <family val="2"/>
      </rPr>
      <t>*</t>
    </r>
  </si>
  <si>
    <t>SET Question Scoring PARAMETERS</t>
  </si>
  <si>
    <t>DEFINE Question Framework</t>
  </si>
  <si>
    <t>Values Between 1 - 10</t>
  </si>
  <si>
    <r>
      <t>Select Competency Check Level</t>
    </r>
    <r>
      <rPr>
        <b/>
        <sz val="11"/>
        <color rgb="FFFF0000"/>
        <rFont val="Segoe UI"/>
        <family val="2"/>
      </rPr>
      <t>*</t>
    </r>
  </si>
  <si>
    <r>
      <t>Set Score Weightage</t>
    </r>
    <r>
      <rPr>
        <b/>
        <sz val="11"/>
        <color rgb="FFFF0000"/>
        <rFont val="Segoe UI"/>
        <family val="2"/>
      </rPr>
      <t>*</t>
    </r>
  </si>
  <si>
    <t>Select from List</t>
  </si>
  <si>
    <r>
      <t>Show Competency Check Level Weightage</t>
    </r>
    <r>
      <rPr>
        <b/>
        <sz val="11"/>
        <color rgb="FFFF0000"/>
        <rFont val="Segoe UI"/>
        <family val="2"/>
      </rPr>
      <t>*</t>
    </r>
  </si>
  <si>
    <t>Values Between 0.01 - 10</t>
  </si>
  <si>
    <r>
      <t>Estimated Time to Answer this Question</t>
    </r>
    <r>
      <rPr>
        <b/>
        <sz val="11"/>
        <color rgb="FFFF0000"/>
        <rFont val="Segoe UI"/>
        <family val="2"/>
      </rPr>
      <t>*</t>
    </r>
  </si>
  <si>
    <t>#</t>
  </si>
  <si>
    <t>Question ATTRIBUTES</t>
  </si>
  <si>
    <r>
      <t>Allow Random Selection by Assessor</t>
    </r>
    <r>
      <rPr>
        <b/>
        <sz val="11"/>
        <color rgb="FFFF0000"/>
        <rFont val="Segoe UI"/>
        <family val="2"/>
      </rPr>
      <t>*</t>
    </r>
  </si>
  <si>
    <r>
      <t>Allow Random Setting in Assessment</t>
    </r>
    <r>
      <rPr>
        <b/>
        <sz val="11"/>
        <color rgb="FFFF0000"/>
        <rFont val="Segoe UI"/>
        <family val="2"/>
      </rPr>
      <t>*</t>
    </r>
  </si>
  <si>
    <r>
      <t>Map Question to Subject - Topic</t>
    </r>
    <r>
      <rPr>
        <b/>
        <sz val="11"/>
        <color rgb="FFFF0000"/>
        <rFont val="Segoe UI"/>
        <family val="2"/>
      </rPr>
      <t>*</t>
    </r>
  </si>
  <si>
    <t>Question Created By</t>
  </si>
  <si>
    <t>Mention Name</t>
  </si>
  <si>
    <t>Ques No.</t>
  </si>
  <si>
    <t>SUBJECT ASSESSMENT:</t>
  </si>
  <si>
    <r>
      <t>Select Correct Answer</t>
    </r>
    <r>
      <rPr>
        <b/>
        <sz val="11"/>
        <color rgb="FFFF0000"/>
        <rFont val="Segoe UI"/>
        <family val="2"/>
      </rPr>
      <t>*</t>
    </r>
  </si>
  <si>
    <t>Maths - Decimals</t>
  </si>
  <si>
    <t>Count numbers from right to left</t>
  </si>
  <si>
    <t>Easy</t>
  </si>
  <si>
    <t>Yes</t>
  </si>
  <si>
    <t>1 - 50</t>
  </si>
  <si>
    <t>What is the decimal point of 5 in 5.05 number? Select your answer from the below list</t>
  </si>
  <si>
    <t>TOTAL NO. OF QUESTIONS:</t>
  </si>
  <si>
    <t>TOTAL SCORE WEIGHTAGE:</t>
  </si>
  <si>
    <t>Total Time avaiable</t>
  </si>
  <si>
    <t>TOTAL TIME AVAILABLE:</t>
  </si>
  <si>
    <t>Maths - Airthmetic</t>
  </si>
  <si>
    <t>Arithmetic</t>
  </si>
  <si>
    <t>How many decimal points remain when 5.236 is multiplied with 100</t>
  </si>
  <si>
    <t>Multiply by 100 and check number of digits after decimal point</t>
  </si>
  <si>
    <t>1 mins</t>
  </si>
  <si>
    <t>No</t>
  </si>
  <si>
    <t>Medium</t>
  </si>
  <si>
    <t>Hard</t>
  </si>
  <si>
    <t>Maths - Measurement</t>
  </si>
  <si>
    <t>The length and breadth of a rectangle are respectively 5 and 2. Find area?</t>
  </si>
  <si>
    <t>Revising formulae</t>
  </si>
  <si>
    <t>Area = l*b</t>
  </si>
  <si>
    <t>Radius of circle is 5cm. Find area in cm²?</t>
  </si>
  <si>
    <t>25π</t>
  </si>
  <si>
    <t>10π</t>
  </si>
  <si>
    <t>5π</t>
  </si>
  <si>
    <t>Area=πr²</t>
  </si>
  <si>
    <t>Maths - Addition/ Subtraction</t>
  </si>
  <si>
    <t>Maths - Time</t>
  </si>
  <si>
    <t>Maths - Arithmetic</t>
  </si>
  <si>
    <t>Maths - Numbers</t>
  </si>
  <si>
    <t>Science - Plants</t>
  </si>
  <si>
    <t>Science - Animals</t>
  </si>
  <si>
    <t>Science - Food</t>
  </si>
  <si>
    <t>Science - Our Universe</t>
  </si>
  <si>
    <t>Science - Our Body</t>
  </si>
  <si>
    <t>GK - Countries and Capitals</t>
  </si>
  <si>
    <t>GK - India</t>
  </si>
  <si>
    <t>GK - Asia</t>
  </si>
  <si>
    <t>GK - Inventions</t>
  </si>
  <si>
    <t>GK - Oceans, Seas, Rivers</t>
  </si>
  <si>
    <t>Sports - Olympics</t>
  </si>
  <si>
    <t>Sports - National Games</t>
  </si>
  <si>
    <t>Sports - Cricket</t>
  </si>
  <si>
    <t>Sports - Athletics</t>
  </si>
  <si>
    <t>Simple addition</t>
  </si>
  <si>
    <t>Word problems</t>
  </si>
  <si>
    <t>Assume variables and add</t>
  </si>
  <si>
    <t>Convert 1 hour and 15 minutes into minutes</t>
  </si>
  <si>
    <t>1 hour is 60 minutes</t>
  </si>
  <si>
    <t>How many seconds are in 1 hour?</t>
  </si>
  <si>
    <t>Divide 1000 into 8 parts. What is the size of each group now?</t>
  </si>
  <si>
    <t>LCM of 2 numbers is 25. HCF of the two numbers is 3. What is their product?</t>
  </si>
  <si>
    <t>Product of two numbers is equal to product of their LCM and HCF.</t>
  </si>
  <si>
    <t>What is the exponent of 2 in the prime factorization of 24</t>
  </si>
  <si>
    <t>Which of the following is a carnivorous plant?</t>
  </si>
  <si>
    <t>Venus Flytrap</t>
  </si>
  <si>
    <t>Aloe Vera</t>
  </si>
  <si>
    <t>Golden Palm</t>
  </si>
  <si>
    <t>How many planets are there in the Solar System?</t>
  </si>
  <si>
    <t>Which of the following is a wild animal?</t>
  </si>
  <si>
    <t>Which of the following is a domestic animal?</t>
  </si>
  <si>
    <t>Cow</t>
  </si>
  <si>
    <t>Lion</t>
  </si>
  <si>
    <t>Tiger</t>
  </si>
  <si>
    <t>Wolf</t>
  </si>
  <si>
    <t>Horse</t>
  </si>
  <si>
    <t>Rabbit</t>
  </si>
  <si>
    <t>Where do plants get Carbon Dioxide from?</t>
  </si>
  <si>
    <t>Air</t>
  </si>
  <si>
    <t>Soil</t>
  </si>
  <si>
    <t>Water</t>
  </si>
  <si>
    <t>Which of these is not a type of bell pepper?</t>
  </si>
  <si>
    <t>Yellow</t>
  </si>
  <si>
    <t>Red</t>
  </si>
  <si>
    <t>Green</t>
  </si>
  <si>
    <t>Purple</t>
  </si>
  <si>
    <t>Potatoes contain a major part of what?</t>
  </si>
  <si>
    <t>Carbohydrates</t>
  </si>
  <si>
    <t>Proteins</t>
  </si>
  <si>
    <t>Which is the hottest planet?</t>
  </si>
  <si>
    <t>Venus</t>
  </si>
  <si>
    <t>Mars</t>
  </si>
  <si>
    <t>Mercury</t>
  </si>
  <si>
    <t>Neptune</t>
  </si>
  <si>
    <t>Uranus</t>
  </si>
  <si>
    <t>Which galaxy are we in?</t>
  </si>
  <si>
    <t>Milky Way</t>
  </si>
  <si>
    <t>Canis Major Dwarf</t>
  </si>
  <si>
    <t>Draco 2</t>
  </si>
  <si>
    <t>Andromeda</t>
  </si>
  <si>
    <t>Whati is the capital of Pakistan?</t>
  </si>
  <si>
    <t>Islamabad</t>
  </si>
  <si>
    <t>Karachi</t>
  </si>
  <si>
    <t>What is the capital of Brazil?</t>
  </si>
  <si>
    <t>What is the capital of India?</t>
  </si>
  <si>
    <t>Agra</t>
  </si>
  <si>
    <t>Calcutta</t>
  </si>
  <si>
    <t>Mumbai</t>
  </si>
  <si>
    <t>Delhi</t>
  </si>
  <si>
    <t>Amritsar</t>
  </si>
  <si>
    <t>Who was the first prime minister of India?</t>
  </si>
  <si>
    <t>Jawaharlal Nehru</t>
  </si>
  <si>
    <t>Rajendra Prasad</t>
  </si>
  <si>
    <t>B. R. Ambedkar</t>
  </si>
  <si>
    <t>Which is the largest country in Asia?</t>
  </si>
  <si>
    <t>China</t>
  </si>
  <si>
    <t>Pakistan</t>
  </si>
  <si>
    <t>What is the capital of China?</t>
  </si>
  <si>
    <t>Beijing</t>
  </si>
  <si>
    <t>Shanghai</t>
  </si>
  <si>
    <t>Guangzhou</t>
  </si>
  <si>
    <t>Brasilia</t>
  </si>
  <si>
    <t>Rio de Janeiro</t>
  </si>
  <si>
    <t>What colour is not in the Indian flag?</t>
  </si>
  <si>
    <t>Saffron</t>
  </si>
  <si>
    <t>Black</t>
  </si>
  <si>
    <t>White</t>
  </si>
  <si>
    <t>Blue</t>
  </si>
  <si>
    <t>What part of the body has no blood supply?</t>
  </si>
  <si>
    <t>Cornea</t>
  </si>
  <si>
    <t>Hands</t>
  </si>
  <si>
    <t>Feet</t>
  </si>
  <si>
    <t>Ear</t>
  </si>
  <si>
    <t>We inhale air through what part?</t>
  </si>
  <si>
    <t>Nose</t>
  </si>
  <si>
    <t>Eyes</t>
  </si>
  <si>
    <t>How many bones are there approximately in the human body?</t>
  </si>
  <si>
    <t>Which of these countries does not border India?</t>
  </si>
  <si>
    <t>Nepal</t>
  </si>
  <si>
    <t>Russia</t>
  </si>
  <si>
    <t>Who invented the Steam Engine?</t>
  </si>
  <si>
    <t>Thomas Alva Edison</t>
  </si>
  <si>
    <t>James Watt</t>
  </si>
  <si>
    <t>Albert Einstein</t>
  </si>
  <si>
    <t>Which is the longest river?</t>
  </si>
  <si>
    <t>Nile</t>
  </si>
  <si>
    <t>Ganga</t>
  </si>
  <si>
    <t>Yamuna</t>
  </si>
  <si>
    <t>Brahmputra</t>
  </si>
  <si>
    <t>Which rivers originate from Himalayas?</t>
  </si>
  <si>
    <t>Indus</t>
  </si>
  <si>
    <t>All of the Above</t>
  </si>
  <si>
    <t>Which of the following is not an Olympic sport?</t>
  </si>
  <si>
    <t>Skateboarding</t>
  </si>
  <si>
    <t>High jumping</t>
  </si>
  <si>
    <t>Swimming</t>
  </si>
  <si>
    <t>Wrestling</t>
  </si>
  <si>
    <t>Who is the first female U.S. gymnast to win four gold medals at a single Games?</t>
  </si>
  <si>
    <t>Shawn Johnson</t>
  </si>
  <si>
    <t>Gabby Douglas</t>
  </si>
  <si>
    <t>Simone Biles</t>
  </si>
  <si>
    <t>In which year, the first National Games of India was held?</t>
  </si>
  <si>
    <t>When were the first Modern National Games on the lines of the Olympics held?</t>
  </si>
  <si>
    <t>Which is India's national game?</t>
  </si>
  <si>
    <t>Hockey</t>
  </si>
  <si>
    <t>Football</t>
  </si>
  <si>
    <t>Three of Australia’s Test cricket captains were nicknamed Pugsley, Tubby, and Punter.</t>
  </si>
  <si>
    <t>For how many days is a Test match scheduled?</t>
  </si>
  <si>
    <t>5 days</t>
  </si>
  <si>
    <t>1 day</t>
  </si>
  <si>
    <t>1 week</t>
  </si>
  <si>
    <t>In which year were the first laws of cricket believed to have been written?</t>
  </si>
  <si>
    <t>Cricket umpires use a large variety of signals to make sure that the correct scores are kept. What does it mean if an umpire raises both arms straight above his head?</t>
  </si>
  <si>
    <t>Out</t>
  </si>
  <si>
    <t>Wide ball</t>
  </si>
  <si>
    <t>6 runs</t>
  </si>
  <si>
    <t>4 runs</t>
  </si>
  <si>
    <t>Lord’s, the most famous of all English cricket grounds, got its name because of the popularity of the game with the English aristocracy.</t>
  </si>
  <si>
    <t>Which American athlete won four gold medals at the 1936 Olympic Games in Berlin?</t>
  </si>
  <si>
    <t>Jim Brown</t>
  </si>
  <si>
    <t>Edwin Moses</t>
  </si>
  <si>
    <t>Joe Louis</t>
  </si>
  <si>
    <t>Jesse Owens</t>
  </si>
  <si>
    <t>Who was the first pole-vaulter to clear 20 feet (6.1 metres)?</t>
  </si>
  <si>
    <t>Bob Richards</t>
  </si>
  <si>
    <t>Don Bragg</t>
  </si>
  <si>
    <t>Sergey Bubka</t>
  </si>
  <si>
    <t>Usain Bolt is the only man ever to win the 100 meters, 200 meters, and 4 x 100-meter relay in a single Olympics.</t>
  </si>
  <si>
    <t>Mathematics - Level 1</t>
  </si>
  <si>
    <t>Mathematics - Level 2</t>
  </si>
  <si>
    <t>Raju has 10 cookies and Aman has 25. They give their cookies to Aryan. How many cookies does Aryan have now?</t>
  </si>
  <si>
    <t>What will be the result if 256 is added to 200?</t>
  </si>
  <si>
    <t>What will be the result if 35 is Subtract from 63?</t>
  </si>
  <si>
    <t>What will be the result if 125 is Divided by 5?</t>
  </si>
  <si>
    <t>When is Independence Day celebrated in India?</t>
  </si>
  <si>
    <t>COMPETENCY SKILL LEVELS</t>
  </si>
  <si>
    <t>SCORE INDICATORS</t>
  </si>
  <si>
    <r>
      <t>Score Criteria Name:</t>
    </r>
    <r>
      <rPr>
        <b/>
        <sz val="11"/>
        <color rgb="FFC9302C"/>
        <rFont val="Segoe UI"/>
        <family val="2"/>
      </rPr>
      <t> *</t>
    </r>
  </si>
  <si>
    <t>Set Score Range</t>
  </si>
  <si>
    <t>Score Indicator Description:</t>
  </si>
  <si>
    <t>From</t>
  </si>
  <si>
    <t>To</t>
  </si>
  <si>
    <t>Excellent</t>
  </si>
  <si>
    <t>Good</t>
  </si>
  <si>
    <t>Need More Improvement</t>
  </si>
  <si>
    <t>Disappointing</t>
  </si>
  <si>
    <r>
      <t>Competency Skill Level Name:</t>
    </r>
    <r>
      <rPr>
        <b/>
        <sz val="11"/>
        <color rgb="FFC9302C"/>
        <rFont val="Segoe UI"/>
        <family val="2"/>
      </rPr>
      <t> *</t>
    </r>
  </si>
  <si>
    <t>50 Chrs</t>
  </si>
  <si>
    <t>30 Chrs</t>
  </si>
  <si>
    <t>Competency Skill Level Description:</t>
  </si>
  <si>
    <r>
      <t>Enter Competency Check Level Weightage</t>
    </r>
    <r>
      <rPr>
        <b/>
        <sz val="11"/>
        <color rgb="FFFF0000"/>
        <rFont val="Segoe UI"/>
        <family val="2"/>
      </rPr>
      <t>*</t>
    </r>
  </si>
  <si>
    <t>Mini Olympiad - Maths and Science</t>
  </si>
  <si>
    <t>Classic Olympiad - Level 1</t>
  </si>
  <si>
    <t>Classic Olympiad - Level 2</t>
  </si>
  <si>
    <t>User 1</t>
  </si>
  <si>
    <t>User 2</t>
  </si>
  <si>
    <t>User 3</t>
  </si>
  <si>
    <t>Created By User having User Role - Risk Assessor</t>
  </si>
  <si>
    <t>QUESTION BANK RESERVE</t>
  </si>
  <si>
    <r>
      <t>Enter QB Reserve No.</t>
    </r>
    <r>
      <rPr>
        <b/>
        <sz val="11"/>
        <color rgb="FFFF0000"/>
        <rFont val="Segoe UI"/>
        <family val="2"/>
      </rPr>
      <t>*</t>
    </r>
  </si>
  <si>
    <r>
      <t xml:space="preserve">Created By </t>
    </r>
    <r>
      <rPr>
        <b/>
        <i/>
        <u/>
        <sz val="14"/>
        <color rgb="FFFF0000"/>
        <rFont val="Arial"/>
        <family val="2"/>
      </rPr>
      <t>User 1</t>
    </r>
    <r>
      <rPr>
        <b/>
        <i/>
        <sz val="11"/>
        <color rgb="FFFF0000"/>
        <rFont val="Arial"/>
        <family val="2"/>
      </rPr>
      <t xml:space="preserve"> having </t>
    </r>
    <r>
      <rPr>
        <b/>
        <i/>
        <u/>
        <sz val="14"/>
        <color rgb="FFFF0000"/>
        <rFont val="Arial"/>
        <family val="2"/>
      </rPr>
      <t>User Role - Process Owner</t>
    </r>
  </si>
  <si>
    <t>Question shared with</t>
  </si>
  <si>
    <t>Mention Name(s)</t>
  </si>
  <si>
    <r>
      <t xml:space="preserve">Created By </t>
    </r>
    <r>
      <rPr>
        <b/>
        <i/>
        <u/>
        <sz val="14"/>
        <color rgb="FFFF0000"/>
        <rFont val="Arial"/>
        <family val="2"/>
      </rPr>
      <t>User 3</t>
    </r>
    <r>
      <rPr>
        <b/>
        <i/>
        <sz val="11"/>
        <color rgb="FFFF0000"/>
        <rFont val="Arial"/>
        <family val="2"/>
      </rPr>
      <t xml:space="preserve"> having </t>
    </r>
    <r>
      <rPr>
        <b/>
        <i/>
        <u/>
        <sz val="14"/>
        <color rgb="FFFF0000"/>
        <rFont val="Arial"/>
        <family val="2"/>
      </rPr>
      <t>User Role - Process Owner</t>
    </r>
  </si>
  <si>
    <r>
      <t xml:space="preserve">Created By </t>
    </r>
    <r>
      <rPr>
        <b/>
        <i/>
        <u/>
        <sz val="14"/>
        <color rgb="FFFF0000"/>
        <rFont val="Arial"/>
        <family val="2"/>
      </rPr>
      <t>User 2</t>
    </r>
    <r>
      <rPr>
        <b/>
        <i/>
        <sz val="11"/>
        <color rgb="FFFF0000"/>
        <rFont val="Arial"/>
        <family val="2"/>
      </rPr>
      <t xml:space="preserve"> having </t>
    </r>
    <r>
      <rPr>
        <b/>
        <i/>
        <u/>
        <sz val="14"/>
        <color rgb="FFFF0000"/>
        <rFont val="Arial"/>
        <family val="2"/>
      </rPr>
      <t>User Role - Risk Assessor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</si>
</sst>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mins&quot;"/>
  </numFmts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333333"/>
      <name val="Segoe UI"/>
      <family val="2"/>
    </font>
    <font>
      <b/>
      <sz val="11"/>
      <color rgb="FFC9302C"/>
      <name val="Segoe UI"/>
      <family val="2"/>
    </font>
    <font>
      <sz val="11"/>
      <color rgb="FFC9302C"/>
      <name val="Segoe UI"/>
      <family val="2"/>
    </font>
    <font>
      <sz val="11"/>
      <color rgb="FF0070C0"/>
      <name val="Arial"/>
      <family val="2"/>
    </font>
    <font>
      <b/>
      <sz val="11"/>
      <color theme="0"/>
      <name val="Segoe UI"/>
      <family val="2"/>
    </font>
    <font>
      <sz val="11"/>
      <color theme="0"/>
      <name val="Arial"/>
      <family val="2"/>
    </font>
    <font>
      <b/>
      <sz val="11"/>
      <color rgb="FFFF0000"/>
      <name val="Segoe UI"/>
      <family val="2"/>
    </font>
    <font>
      <b/>
      <sz val="11"/>
      <color rgb="FF7030A0"/>
      <name val="Arial"/>
      <family val="2"/>
    </font>
    <font>
      <b/>
      <sz val="11"/>
      <color theme="1"/>
      <name val="Arial Black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0" tint="-0.14999847407452621"/>
      <name val="Arial"/>
      <family val="2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b/>
      <i/>
      <sz val="11"/>
      <color rgb="FFFF0000"/>
      <name val="Arial"/>
      <family val="2"/>
    </font>
    <font>
      <b/>
      <sz val="16"/>
      <color theme="1"/>
      <name val="Arial"/>
      <family val="2"/>
    </font>
    <font>
      <b/>
      <i/>
      <u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D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1DA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1F4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5" borderId="1" xfId="0" quotePrefix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164" fontId="12" fillId="2" borderId="5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6" fontId="1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1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AD12-34D0-4666-961B-9B1BB45420CF}">
  <dimension ref="A1:V24"/>
  <sheetViews>
    <sheetView showGridLines="0" tabSelected="1" workbookViewId="0">
      <pane ySplit="3" topLeftCell="A4" activePane="bottomLeft" state="frozen"/>
      <selection pane="bottomLeft" activeCell="A4" sqref="A4"/>
    </sheetView>
  </sheetViews>
  <sheetFormatPr defaultColWidth="9.140625" defaultRowHeight="15" x14ac:dyDescent="0.25"/>
  <cols>
    <col min="1" max="1" width="22.7109375" style="3" customWidth="1"/>
    <col min="2" max="3" width="11.85546875" style="9" customWidth="1"/>
    <col min="4" max="4" width="28.42578125" style="3" customWidth="1"/>
    <col min="5" max="5" width="1.42578125" style="3" customWidth="1"/>
    <col min="6" max="6" width="22.7109375" style="3" customWidth="1"/>
    <col min="7" max="7" width="19.7109375" style="3" customWidth="1"/>
    <col min="8" max="8" width="21.140625" style="9" customWidth="1"/>
    <col min="9" max="9" width="1.42578125" style="3" customWidth="1"/>
    <col min="10" max="10" width="22.7109375" style="3" customWidth="1"/>
    <col min="11" max="11" width="28.42578125" style="3" customWidth="1"/>
    <col min="12" max="12" width="1.42578125" style="3" customWidth="1"/>
    <col min="13" max="13" width="22.7109375" style="3" customWidth="1"/>
    <col min="14" max="14" width="24.85546875" style="3" customWidth="1"/>
    <col min="15" max="15" width="20" style="3" bestFit="1" customWidth="1"/>
    <col min="16" max="16" width="28.5703125" style="3" customWidth="1"/>
    <col min="17" max="17" width="1.42578125" style="3" customWidth="1"/>
    <col min="18" max="22" width="8.85546875" customWidth="1"/>
    <col min="23" max="16384" width="9.140625" style="3"/>
  </cols>
  <sheetData>
    <row r="1" spans="1:22" ht="24.75" customHeight="1" x14ac:dyDescent="0.25">
      <c r="A1" s="1" t="s">
        <v>247</v>
      </c>
      <c r="B1" s="21"/>
      <c r="C1" s="21"/>
      <c r="D1" s="2"/>
      <c r="F1" s="1" t="s">
        <v>246</v>
      </c>
      <c r="G1" s="2"/>
      <c r="H1" s="21"/>
      <c r="J1" s="1" t="s">
        <v>0</v>
      </c>
      <c r="K1" s="2"/>
      <c r="M1" s="1" t="s">
        <v>1</v>
      </c>
      <c r="N1" s="1"/>
      <c r="O1" s="2"/>
      <c r="P1" s="1"/>
    </row>
    <row r="3" spans="1:22" ht="49.5" x14ac:dyDescent="0.25">
      <c r="A3" s="4" t="s">
        <v>248</v>
      </c>
      <c r="B3" s="13" t="s">
        <v>249</v>
      </c>
      <c r="C3" s="13" t="s">
        <v>249</v>
      </c>
      <c r="D3" s="4" t="s">
        <v>250</v>
      </c>
      <c r="F3" s="4" t="s">
        <v>257</v>
      </c>
      <c r="G3" s="4" t="s">
        <v>260</v>
      </c>
      <c r="H3" s="13" t="s">
        <v>261</v>
      </c>
      <c r="J3" s="4" t="s">
        <v>2</v>
      </c>
      <c r="K3" s="4" t="s">
        <v>9</v>
      </c>
      <c r="M3" s="5" t="s">
        <v>7</v>
      </c>
      <c r="N3" s="4" t="s">
        <v>8</v>
      </c>
      <c r="O3" s="4" t="s">
        <v>10</v>
      </c>
      <c r="P3" s="4" t="s">
        <v>11</v>
      </c>
    </row>
    <row r="4" spans="1:22" s="11" customFormat="1" ht="33" x14ac:dyDescent="0.25">
      <c r="A4" s="10" t="s">
        <v>258</v>
      </c>
      <c r="B4" s="10" t="s">
        <v>251</v>
      </c>
      <c r="C4" s="10" t="s">
        <v>252</v>
      </c>
      <c r="D4" s="10"/>
      <c r="F4" s="10" t="s">
        <v>259</v>
      </c>
      <c r="G4" s="10"/>
      <c r="H4" s="10" t="s">
        <v>48</v>
      </c>
      <c r="J4" s="10" t="s">
        <v>3</v>
      </c>
      <c r="K4" s="10"/>
      <c r="M4" s="10" t="s">
        <v>3</v>
      </c>
      <c r="N4" s="10"/>
      <c r="O4" s="10"/>
      <c r="P4" s="10"/>
      <c r="R4" s="12"/>
      <c r="S4" s="12"/>
      <c r="T4" s="12"/>
      <c r="U4" s="12"/>
      <c r="V4" s="12"/>
    </row>
    <row r="5" spans="1:22" x14ac:dyDescent="0.25">
      <c r="A5" s="6" t="s">
        <v>253</v>
      </c>
      <c r="B5" s="15">
        <v>81</v>
      </c>
      <c r="C5" s="15">
        <v>100</v>
      </c>
      <c r="D5" s="6"/>
      <c r="F5" s="6" t="s">
        <v>62</v>
      </c>
      <c r="G5" s="6"/>
      <c r="H5" s="15">
        <v>0.5</v>
      </c>
      <c r="J5" s="6" t="s">
        <v>4</v>
      </c>
      <c r="K5" s="6"/>
      <c r="M5" s="7" t="s">
        <v>4</v>
      </c>
      <c r="N5" s="6" t="s">
        <v>12</v>
      </c>
      <c r="O5" s="6"/>
      <c r="P5" s="6" t="str">
        <f>+M5&amp;" - "&amp;N5</f>
        <v>Maths - Decimals</v>
      </c>
    </row>
    <row r="6" spans="1:22" x14ac:dyDescent="0.25">
      <c r="A6" s="6" t="s">
        <v>254</v>
      </c>
      <c r="B6" s="15">
        <v>61</v>
      </c>
      <c r="C6" s="15">
        <v>80</v>
      </c>
      <c r="D6" s="6"/>
      <c r="F6" s="6" t="s">
        <v>76</v>
      </c>
      <c r="G6" s="6"/>
      <c r="H6" s="15">
        <v>1.5</v>
      </c>
      <c r="J6" s="6" t="s">
        <v>5</v>
      </c>
      <c r="K6" s="6"/>
      <c r="M6" s="7" t="s">
        <v>4</v>
      </c>
      <c r="N6" s="6" t="s">
        <v>13</v>
      </c>
      <c r="O6" s="6"/>
      <c r="P6" s="6" t="str">
        <f t="shared" ref="P6:P24" si="0">+M6&amp;" - "&amp;N6</f>
        <v>Maths - Measurement</v>
      </c>
    </row>
    <row r="7" spans="1:22" ht="28.5" x14ac:dyDescent="0.25">
      <c r="A7" s="6" t="s">
        <v>255</v>
      </c>
      <c r="B7" s="15">
        <v>41</v>
      </c>
      <c r="C7" s="15">
        <v>60</v>
      </c>
      <c r="D7" s="6"/>
      <c r="F7" s="6" t="s">
        <v>77</v>
      </c>
      <c r="G7" s="6"/>
      <c r="H7" s="15">
        <v>2.5</v>
      </c>
      <c r="J7" s="6" t="s">
        <v>23</v>
      </c>
      <c r="K7" s="6"/>
      <c r="M7" s="7" t="s">
        <v>4</v>
      </c>
      <c r="N7" s="6" t="s">
        <v>14</v>
      </c>
      <c r="O7" s="6"/>
      <c r="P7" s="6" t="str">
        <f t="shared" si="0"/>
        <v>Maths - Addition/ Subtraction</v>
      </c>
    </row>
    <row r="8" spans="1:22" x14ac:dyDescent="0.25">
      <c r="A8" s="6" t="s">
        <v>256</v>
      </c>
      <c r="B8" s="15">
        <v>0</v>
      </c>
      <c r="C8" s="15">
        <v>40</v>
      </c>
      <c r="D8" s="6"/>
      <c r="F8" s="6"/>
      <c r="G8" s="6"/>
      <c r="H8" s="15"/>
      <c r="J8" s="6" t="s">
        <v>6</v>
      </c>
      <c r="K8" s="6"/>
      <c r="M8" s="7" t="s">
        <v>4</v>
      </c>
      <c r="N8" s="6" t="s">
        <v>15</v>
      </c>
      <c r="O8" s="6"/>
      <c r="P8" s="6" t="str">
        <f t="shared" si="0"/>
        <v>Maths - Time</v>
      </c>
    </row>
    <row r="9" spans="1:22" x14ac:dyDescent="0.25">
      <c r="A9" s="6"/>
      <c r="B9" s="15"/>
      <c r="C9" s="15"/>
      <c r="D9" s="6"/>
      <c r="F9" s="6"/>
      <c r="G9" s="6"/>
      <c r="H9" s="15"/>
      <c r="J9" s="6"/>
      <c r="K9" s="6"/>
      <c r="M9" s="7" t="s">
        <v>4</v>
      </c>
      <c r="N9" s="6" t="s">
        <v>71</v>
      </c>
      <c r="O9" s="6"/>
      <c r="P9" s="6" t="str">
        <f t="shared" si="0"/>
        <v>Maths - Arithmetic</v>
      </c>
    </row>
    <row r="10" spans="1:22" x14ac:dyDescent="0.25">
      <c r="A10" s="6"/>
      <c r="B10" s="15"/>
      <c r="C10" s="15"/>
      <c r="D10" s="6"/>
      <c r="F10" s="6"/>
      <c r="G10" s="6"/>
      <c r="H10" s="15"/>
      <c r="J10" s="6"/>
      <c r="K10" s="6"/>
      <c r="M10" s="7" t="s">
        <v>4</v>
      </c>
      <c r="N10" s="6" t="s">
        <v>16</v>
      </c>
      <c r="O10" s="6"/>
      <c r="P10" s="6" t="str">
        <f t="shared" si="0"/>
        <v>Maths - Numbers</v>
      </c>
    </row>
    <row r="11" spans="1:22" x14ac:dyDescent="0.25">
      <c r="A11" s="8"/>
      <c r="B11" s="28"/>
      <c r="C11" s="28"/>
      <c r="D11" s="8"/>
      <c r="F11" s="8"/>
      <c r="G11" s="8"/>
      <c r="H11" s="28"/>
      <c r="J11" s="8"/>
      <c r="K11" s="8"/>
      <c r="M11" s="7" t="s">
        <v>5</v>
      </c>
      <c r="N11" s="6" t="s">
        <v>17</v>
      </c>
      <c r="O11" s="6"/>
      <c r="P11" s="6" t="str">
        <f t="shared" si="0"/>
        <v>Science - Plants</v>
      </c>
    </row>
    <row r="12" spans="1:22" x14ac:dyDescent="0.25">
      <c r="A12" s="8"/>
      <c r="B12" s="28"/>
      <c r="C12" s="28"/>
      <c r="D12" s="8"/>
      <c r="F12" s="8"/>
      <c r="G12" s="8"/>
      <c r="H12" s="28"/>
      <c r="J12" s="8"/>
      <c r="K12" s="8"/>
      <c r="M12" s="7" t="s">
        <v>5</v>
      </c>
      <c r="N12" s="6" t="s">
        <v>18</v>
      </c>
      <c r="O12" s="6"/>
      <c r="P12" s="6" t="str">
        <f t="shared" si="0"/>
        <v>Science - Animals</v>
      </c>
    </row>
    <row r="13" spans="1:22" x14ac:dyDescent="0.25">
      <c r="A13" s="8"/>
      <c r="B13" s="28"/>
      <c r="C13" s="28"/>
      <c r="D13" s="8"/>
      <c r="F13" s="8"/>
      <c r="G13" s="8"/>
      <c r="H13" s="28"/>
      <c r="J13" s="8"/>
      <c r="K13" s="8"/>
      <c r="M13" s="7" t="s">
        <v>5</v>
      </c>
      <c r="N13" s="6" t="s">
        <v>19</v>
      </c>
      <c r="O13" s="6"/>
      <c r="P13" s="6" t="str">
        <f t="shared" si="0"/>
        <v>Science - Food</v>
      </c>
    </row>
    <row r="14" spans="1:22" x14ac:dyDescent="0.25">
      <c r="A14" s="8"/>
      <c r="B14" s="28"/>
      <c r="C14" s="28"/>
      <c r="D14" s="8"/>
      <c r="F14" s="8"/>
      <c r="G14" s="8"/>
      <c r="H14" s="28"/>
      <c r="J14" s="8"/>
      <c r="K14" s="8"/>
      <c r="M14" s="7" t="s">
        <v>5</v>
      </c>
      <c r="N14" s="6" t="s">
        <v>20</v>
      </c>
      <c r="O14" s="6"/>
      <c r="P14" s="6" t="str">
        <f t="shared" si="0"/>
        <v>Science - Our Universe</v>
      </c>
    </row>
    <row r="15" spans="1:22" x14ac:dyDescent="0.25">
      <c r="A15" s="8"/>
      <c r="B15" s="28"/>
      <c r="C15" s="28"/>
      <c r="F15" s="8"/>
      <c r="H15" s="28"/>
      <c r="J15" s="8"/>
      <c r="M15" s="7" t="s">
        <v>5</v>
      </c>
      <c r="N15" s="6" t="s">
        <v>21</v>
      </c>
      <c r="O15" s="6"/>
      <c r="P15" s="6" t="str">
        <f t="shared" si="0"/>
        <v>Science - Our Body</v>
      </c>
    </row>
    <row r="16" spans="1:22" x14ac:dyDescent="0.25">
      <c r="M16" s="7" t="s">
        <v>23</v>
      </c>
      <c r="N16" s="6" t="s">
        <v>22</v>
      </c>
      <c r="O16" s="6"/>
      <c r="P16" s="6" t="str">
        <f t="shared" si="0"/>
        <v>GK - Countries and Capitals</v>
      </c>
    </row>
    <row r="17" spans="13:16" x14ac:dyDescent="0.25">
      <c r="M17" s="7" t="s">
        <v>23</v>
      </c>
      <c r="N17" s="6" t="s">
        <v>24</v>
      </c>
      <c r="O17" s="6"/>
      <c r="P17" s="6" t="str">
        <f t="shared" si="0"/>
        <v>GK - India</v>
      </c>
    </row>
    <row r="18" spans="13:16" x14ac:dyDescent="0.25">
      <c r="M18" s="7" t="s">
        <v>23</v>
      </c>
      <c r="N18" s="6" t="s">
        <v>25</v>
      </c>
      <c r="O18" s="6"/>
      <c r="P18" s="6" t="str">
        <f t="shared" si="0"/>
        <v>GK - Asia</v>
      </c>
    </row>
    <row r="19" spans="13:16" x14ac:dyDescent="0.25">
      <c r="M19" s="7" t="s">
        <v>23</v>
      </c>
      <c r="N19" s="6" t="s">
        <v>26</v>
      </c>
      <c r="O19" s="6"/>
      <c r="P19" s="6" t="str">
        <f t="shared" si="0"/>
        <v>GK - Inventions</v>
      </c>
    </row>
    <row r="20" spans="13:16" x14ac:dyDescent="0.25">
      <c r="M20" s="7" t="s">
        <v>23</v>
      </c>
      <c r="N20" s="6" t="s">
        <v>27</v>
      </c>
      <c r="O20" s="6"/>
      <c r="P20" s="6" t="str">
        <f t="shared" si="0"/>
        <v>GK - Oceans, Seas, Rivers</v>
      </c>
    </row>
    <row r="21" spans="13:16" x14ac:dyDescent="0.25">
      <c r="M21" s="7" t="s">
        <v>6</v>
      </c>
      <c r="N21" s="6" t="s">
        <v>28</v>
      </c>
      <c r="O21" s="6"/>
      <c r="P21" s="6" t="str">
        <f t="shared" si="0"/>
        <v>Sports - Olympics</v>
      </c>
    </row>
    <row r="22" spans="13:16" x14ac:dyDescent="0.25">
      <c r="M22" s="7" t="s">
        <v>6</v>
      </c>
      <c r="N22" s="6" t="s">
        <v>29</v>
      </c>
      <c r="O22" s="6"/>
      <c r="P22" s="6" t="str">
        <f t="shared" si="0"/>
        <v>Sports - National Games</v>
      </c>
    </row>
    <row r="23" spans="13:16" x14ac:dyDescent="0.25">
      <c r="M23" s="7" t="s">
        <v>6</v>
      </c>
      <c r="N23" s="6" t="s">
        <v>30</v>
      </c>
      <c r="O23" s="6"/>
      <c r="P23" s="6" t="str">
        <f t="shared" si="0"/>
        <v>Sports - Cricket</v>
      </c>
    </row>
    <row r="24" spans="13:16" x14ac:dyDescent="0.25">
      <c r="M24" s="7" t="s">
        <v>6</v>
      </c>
      <c r="N24" s="6" t="s">
        <v>31</v>
      </c>
      <c r="O24" s="6"/>
      <c r="P24" s="6" t="str">
        <f t="shared" si="0"/>
        <v>Sports - Athletics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D0D5-B1A8-415B-80B3-A2858290E921}">
  <dimension ref="A1:X20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4.25" x14ac:dyDescent="0.25"/>
  <cols>
    <col min="1" max="1" width="6.140625" style="3" customWidth="1"/>
    <col min="2" max="2" width="18.5703125" style="3" customWidth="1"/>
    <col min="3" max="3" width="59" style="3" customWidth="1"/>
    <col min="4" max="4" width="28.42578125" style="3" customWidth="1"/>
    <col min="5" max="9" width="13" style="3" customWidth="1"/>
    <col min="10" max="14" width="13" style="3" hidden="1" customWidth="1"/>
    <col min="15" max="15" width="10.5703125" style="3" customWidth="1"/>
    <col min="16" max="16" width="36" style="3" customWidth="1"/>
    <col min="17" max="24" width="28.42578125" style="3" customWidth="1"/>
    <col min="25" max="16384" width="9.140625" style="3"/>
  </cols>
  <sheetData>
    <row r="1" spans="1:24" ht="24.75" customHeight="1" x14ac:dyDescent="0.25">
      <c r="A1" s="1"/>
      <c r="B1" s="1" t="s">
        <v>32</v>
      </c>
      <c r="C1" s="2"/>
      <c r="D1" s="35" t="s">
        <v>268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" x14ac:dyDescent="0.25">
      <c r="B2" s="14" t="s">
        <v>42</v>
      </c>
      <c r="Q2" s="14" t="s">
        <v>41</v>
      </c>
      <c r="U2" s="14" t="s">
        <v>51</v>
      </c>
    </row>
    <row r="3" spans="1:24" s="9" customFormat="1" ht="33" x14ac:dyDescent="0.25">
      <c r="A3" s="13" t="s">
        <v>50</v>
      </c>
      <c r="B3" s="13" t="s">
        <v>54</v>
      </c>
      <c r="C3" s="13" t="s">
        <v>33</v>
      </c>
      <c r="D3" s="13" t="s">
        <v>35</v>
      </c>
      <c r="E3" s="30" t="s">
        <v>38</v>
      </c>
      <c r="F3" s="31"/>
      <c r="G3" s="31"/>
      <c r="H3" s="31"/>
      <c r="I3" s="31"/>
      <c r="J3" s="31"/>
      <c r="K3" s="31"/>
      <c r="L3" s="31"/>
      <c r="M3" s="31"/>
      <c r="N3" s="32"/>
      <c r="O3" s="13" t="s">
        <v>37</v>
      </c>
      <c r="P3" s="13" t="s">
        <v>36</v>
      </c>
      <c r="Q3" s="13" t="s">
        <v>45</v>
      </c>
      <c r="R3" s="13" t="s">
        <v>44</v>
      </c>
      <c r="S3" s="13" t="s">
        <v>47</v>
      </c>
      <c r="T3" s="13" t="s">
        <v>49</v>
      </c>
      <c r="U3" s="13" t="s">
        <v>52</v>
      </c>
      <c r="V3" s="13" t="s">
        <v>53</v>
      </c>
      <c r="W3" s="13" t="s">
        <v>55</v>
      </c>
      <c r="X3" s="13" t="s">
        <v>272</v>
      </c>
    </row>
    <row r="4" spans="1:24" s="11" customFormat="1" ht="16.5" x14ac:dyDescent="0.25">
      <c r="A4" s="10"/>
      <c r="B4" s="10" t="s">
        <v>46</v>
      </c>
      <c r="C4" s="10" t="s">
        <v>34</v>
      </c>
      <c r="D4" s="10" t="s">
        <v>34</v>
      </c>
      <c r="E4" s="10" t="s">
        <v>39</v>
      </c>
      <c r="F4" s="10" t="s">
        <v>40</v>
      </c>
      <c r="G4" s="10">
        <v>3</v>
      </c>
      <c r="H4" s="10">
        <v>4</v>
      </c>
      <c r="I4" s="10">
        <v>5</v>
      </c>
      <c r="J4" s="10">
        <v>6</v>
      </c>
      <c r="K4" s="10">
        <v>7</v>
      </c>
      <c r="L4" s="10">
        <v>8</v>
      </c>
      <c r="M4" s="10">
        <v>9</v>
      </c>
      <c r="N4" s="10">
        <v>10</v>
      </c>
      <c r="O4" s="10"/>
      <c r="P4" s="10" t="s">
        <v>34</v>
      </c>
      <c r="Q4" s="10" t="s">
        <v>43</v>
      </c>
      <c r="R4" s="10" t="s">
        <v>46</v>
      </c>
      <c r="S4" s="10" t="s">
        <v>48</v>
      </c>
      <c r="T4" s="10" t="s">
        <v>43</v>
      </c>
      <c r="U4" s="10" t="s">
        <v>46</v>
      </c>
      <c r="V4" s="10" t="s">
        <v>46</v>
      </c>
      <c r="W4" s="10" t="s">
        <v>56</v>
      </c>
      <c r="X4" s="10" t="s">
        <v>273</v>
      </c>
    </row>
    <row r="5" spans="1:24" ht="33.75" customHeight="1" x14ac:dyDescent="0.25">
      <c r="A5" s="15">
        <v>1</v>
      </c>
      <c r="B5" s="15" t="s">
        <v>60</v>
      </c>
      <c r="C5" s="6" t="s">
        <v>65</v>
      </c>
      <c r="D5" s="6"/>
      <c r="E5" s="26">
        <v>1</v>
      </c>
      <c r="F5" s="26">
        <v>2</v>
      </c>
      <c r="G5" s="26"/>
      <c r="H5" s="26"/>
      <c r="I5" s="26"/>
      <c r="J5" s="26"/>
      <c r="K5" s="26"/>
      <c r="L5" s="26"/>
      <c r="M5" s="26"/>
      <c r="N5" s="26"/>
      <c r="O5" s="15">
        <v>2</v>
      </c>
      <c r="P5" s="6" t="s">
        <v>61</v>
      </c>
      <c r="Q5" s="15">
        <v>1</v>
      </c>
      <c r="R5" s="15" t="s">
        <v>62</v>
      </c>
      <c r="S5" s="15">
        <v>0.5</v>
      </c>
      <c r="T5" s="16">
        <v>1</v>
      </c>
      <c r="U5" s="15" t="s">
        <v>63</v>
      </c>
      <c r="V5" s="15" t="s">
        <v>63</v>
      </c>
      <c r="W5" s="16" t="s">
        <v>265</v>
      </c>
      <c r="X5" s="16"/>
    </row>
    <row r="6" spans="1:24" ht="33.75" customHeight="1" x14ac:dyDescent="0.25">
      <c r="A6" s="15">
        <v>3</v>
      </c>
      <c r="B6" s="15" t="s">
        <v>78</v>
      </c>
      <c r="C6" s="6" t="s">
        <v>79</v>
      </c>
      <c r="D6" s="6" t="s">
        <v>80</v>
      </c>
      <c r="E6" s="26">
        <v>10</v>
      </c>
      <c r="F6" s="26">
        <v>20</v>
      </c>
      <c r="G6" s="26">
        <v>5</v>
      </c>
      <c r="H6" s="26">
        <v>6</v>
      </c>
      <c r="I6" s="26"/>
      <c r="J6" s="26"/>
      <c r="K6" s="26"/>
      <c r="L6" s="26"/>
      <c r="M6" s="26"/>
      <c r="N6" s="26"/>
      <c r="O6" s="15">
        <v>1</v>
      </c>
      <c r="P6" s="6" t="s">
        <v>81</v>
      </c>
      <c r="Q6" s="15">
        <v>3</v>
      </c>
      <c r="R6" s="15" t="s">
        <v>76</v>
      </c>
      <c r="S6" s="15">
        <v>1.5</v>
      </c>
      <c r="T6" s="16">
        <v>2</v>
      </c>
      <c r="U6" s="15" t="s">
        <v>63</v>
      </c>
      <c r="V6" s="15" t="s">
        <v>75</v>
      </c>
      <c r="W6" s="16" t="s">
        <v>265</v>
      </c>
      <c r="X6" s="16"/>
    </row>
    <row r="7" spans="1:24" ht="33.75" customHeight="1" x14ac:dyDescent="0.25">
      <c r="A7" s="15">
        <v>5</v>
      </c>
      <c r="B7" s="15" t="s">
        <v>87</v>
      </c>
      <c r="C7" s="6" t="s">
        <v>242</v>
      </c>
      <c r="D7" s="6" t="s">
        <v>105</v>
      </c>
      <c r="E7" s="26">
        <v>356</v>
      </c>
      <c r="F7" s="26">
        <v>466</v>
      </c>
      <c r="G7" s="26">
        <v>456</v>
      </c>
      <c r="H7" s="26"/>
      <c r="I7" s="26"/>
      <c r="J7" s="26"/>
      <c r="K7" s="26"/>
      <c r="L7" s="26"/>
      <c r="M7" s="26"/>
      <c r="N7" s="26"/>
      <c r="O7" s="15">
        <v>3</v>
      </c>
      <c r="P7" s="6"/>
      <c r="Q7" s="15">
        <v>3</v>
      </c>
      <c r="R7" s="15" t="s">
        <v>62</v>
      </c>
      <c r="S7" s="15">
        <v>0.5</v>
      </c>
      <c r="T7" s="16">
        <v>1</v>
      </c>
      <c r="U7" s="15" t="s">
        <v>63</v>
      </c>
      <c r="V7" s="15" t="s">
        <v>75</v>
      </c>
      <c r="W7" s="16" t="s">
        <v>265</v>
      </c>
      <c r="X7" s="16"/>
    </row>
    <row r="8" spans="1:24" ht="33.75" customHeight="1" x14ac:dyDescent="0.25">
      <c r="A8" s="15">
        <v>8</v>
      </c>
      <c r="B8" s="15" t="s">
        <v>88</v>
      </c>
      <c r="C8" s="6" t="s">
        <v>108</v>
      </c>
      <c r="D8" s="6"/>
      <c r="E8" s="26">
        <v>75</v>
      </c>
      <c r="F8" s="26">
        <v>65</v>
      </c>
      <c r="G8" s="26">
        <v>115</v>
      </c>
      <c r="H8" s="26"/>
      <c r="I8" s="26"/>
      <c r="J8" s="26"/>
      <c r="K8" s="26"/>
      <c r="L8" s="26"/>
      <c r="M8" s="26"/>
      <c r="N8" s="26"/>
      <c r="O8" s="15">
        <v>1</v>
      </c>
      <c r="P8" s="6" t="s">
        <v>109</v>
      </c>
      <c r="Q8" s="15">
        <v>4</v>
      </c>
      <c r="R8" s="15" t="s">
        <v>76</v>
      </c>
      <c r="S8" s="15">
        <v>1.5</v>
      </c>
      <c r="T8" s="16">
        <v>6</v>
      </c>
      <c r="U8" s="15" t="s">
        <v>75</v>
      </c>
      <c r="V8" s="15" t="s">
        <v>63</v>
      </c>
      <c r="W8" s="16" t="s">
        <v>265</v>
      </c>
      <c r="X8" s="16"/>
    </row>
    <row r="9" spans="1:24" ht="33.75" customHeight="1" x14ac:dyDescent="0.25">
      <c r="A9" s="15">
        <v>10</v>
      </c>
      <c r="B9" s="15" t="s">
        <v>89</v>
      </c>
      <c r="C9" s="6" t="s">
        <v>244</v>
      </c>
      <c r="D9" s="6"/>
      <c r="E9" s="26">
        <v>20</v>
      </c>
      <c r="F9" s="26">
        <v>10</v>
      </c>
      <c r="G9" s="26">
        <v>25</v>
      </c>
      <c r="H9" s="26">
        <v>30</v>
      </c>
      <c r="I9" s="26"/>
      <c r="J9" s="26"/>
      <c r="K9" s="26"/>
      <c r="L9" s="26"/>
      <c r="M9" s="26"/>
      <c r="N9" s="26"/>
      <c r="O9" s="15">
        <v>3</v>
      </c>
      <c r="P9" s="6"/>
      <c r="Q9" s="15">
        <v>2</v>
      </c>
      <c r="R9" s="15" t="s">
        <v>76</v>
      </c>
      <c r="S9" s="15">
        <v>1.5</v>
      </c>
      <c r="T9" s="16">
        <v>7</v>
      </c>
      <c r="U9" s="15" t="s">
        <v>75</v>
      </c>
      <c r="V9" s="15" t="s">
        <v>75</v>
      </c>
      <c r="W9" s="16" t="s">
        <v>265</v>
      </c>
      <c r="X9" s="16" t="s">
        <v>267</v>
      </c>
    </row>
    <row r="10" spans="1:24" ht="33.75" customHeight="1" x14ac:dyDescent="0.25">
      <c r="A10" s="15">
        <v>14</v>
      </c>
      <c r="B10" s="15" t="s">
        <v>91</v>
      </c>
      <c r="C10" s="6" t="s">
        <v>115</v>
      </c>
      <c r="D10" s="6"/>
      <c r="E10" s="26" t="s">
        <v>116</v>
      </c>
      <c r="F10" s="26" t="s">
        <v>117</v>
      </c>
      <c r="G10" s="26" t="s">
        <v>118</v>
      </c>
      <c r="H10" s="26"/>
      <c r="I10" s="26"/>
      <c r="J10" s="26"/>
      <c r="K10" s="26"/>
      <c r="L10" s="26"/>
      <c r="M10" s="26"/>
      <c r="N10" s="26"/>
      <c r="O10" s="15">
        <v>1</v>
      </c>
      <c r="P10" s="6"/>
      <c r="Q10" s="15">
        <v>2</v>
      </c>
      <c r="R10" s="15" t="s">
        <v>76</v>
      </c>
      <c r="S10" s="15">
        <v>1.5</v>
      </c>
      <c r="T10" s="16">
        <v>2</v>
      </c>
      <c r="U10" s="15" t="s">
        <v>75</v>
      </c>
      <c r="V10" s="15" t="s">
        <v>75</v>
      </c>
      <c r="W10" s="16" t="s">
        <v>265</v>
      </c>
      <c r="X10" s="16"/>
    </row>
    <row r="11" spans="1:24" ht="33.75" customHeight="1" x14ac:dyDescent="0.25">
      <c r="A11" s="15">
        <v>15</v>
      </c>
      <c r="B11" s="15" t="s">
        <v>91</v>
      </c>
      <c r="C11" s="6" t="s">
        <v>128</v>
      </c>
      <c r="D11" s="6"/>
      <c r="E11" s="26" t="s">
        <v>129</v>
      </c>
      <c r="F11" s="26" t="s">
        <v>130</v>
      </c>
      <c r="G11" s="26" t="s">
        <v>131</v>
      </c>
      <c r="H11" s="26"/>
      <c r="I11" s="26"/>
      <c r="J11" s="26"/>
      <c r="K11" s="26"/>
      <c r="L11" s="26"/>
      <c r="M11" s="26"/>
      <c r="N11" s="26"/>
      <c r="O11" s="15">
        <v>1</v>
      </c>
      <c r="P11" s="6"/>
      <c r="Q11" s="15">
        <v>3</v>
      </c>
      <c r="R11" s="15" t="s">
        <v>62</v>
      </c>
      <c r="S11" s="15">
        <v>0.5</v>
      </c>
      <c r="T11" s="16">
        <v>3</v>
      </c>
      <c r="U11" s="15" t="s">
        <v>63</v>
      </c>
      <c r="V11" s="15" t="s">
        <v>75</v>
      </c>
      <c r="W11" s="16" t="s">
        <v>265</v>
      </c>
      <c r="X11" s="16"/>
    </row>
    <row r="12" spans="1:24" ht="33.75" customHeight="1" x14ac:dyDescent="0.25">
      <c r="A12" s="15">
        <v>20</v>
      </c>
      <c r="B12" s="15" t="s">
        <v>94</v>
      </c>
      <c r="C12" s="6" t="s">
        <v>119</v>
      </c>
      <c r="D12" s="6"/>
      <c r="E12" s="26">
        <v>8</v>
      </c>
      <c r="F12" s="26">
        <v>9</v>
      </c>
      <c r="G12" s="26">
        <v>10</v>
      </c>
      <c r="H12" s="26">
        <v>7</v>
      </c>
      <c r="I12" s="26"/>
      <c r="J12" s="26"/>
      <c r="K12" s="26"/>
      <c r="L12" s="26"/>
      <c r="M12" s="26"/>
      <c r="N12" s="26"/>
      <c r="O12" s="15">
        <v>1</v>
      </c>
      <c r="P12" s="6"/>
      <c r="Q12" s="15">
        <v>6</v>
      </c>
      <c r="R12" s="15" t="s">
        <v>76</v>
      </c>
      <c r="S12" s="15">
        <v>1.5</v>
      </c>
      <c r="T12" s="16">
        <v>1</v>
      </c>
      <c r="U12" s="15" t="s">
        <v>63</v>
      </c>
      <c r="V12" s="15" t="s">
        <v>63</v>
      </c>
      <c r="W12" s="16" t="s">
        <v>265</v>
      </c>
      <c r="X12" s="16"/>
    </row>
    <row r="13" spans="1:24" ht="33.75" customHeight="1" x14ac:dyDescent="0.25">
      <c r="A13" s="15">
        <v>21</v>
      </c>
      <c r="B13" s="15" t="s">
        <v>94</v>
      </c>
      <c r="C13" s="6" t="s">
        <v>140</v>
      </c>
      <c r="D13" s="6"/>
      <c r="E13" s="26" t="s">
        <v>141</v>
      </c>
      <c r="F13" s="26" t="s">
        <v>142</v>
      </c>
      <c r="G13" s="26" t="s">
        <v>143</v>
      </c>
      <c r="H13" s="26" t="s">
        <v>144</v>
      </c>
      <c r="I13" s="26" t="s">
        <v>145</v>
      </c>
      <c r="J13" s="26"/>
      <c r="K13" s="26"/>
      <c r="L13" s="26"/>
      <c r="M13" s="26"/>
      <c r="N13" s="26"/>
      <c r="O13" s="15">
        <v>1</v>
      </c>
      <c r="P13" s="6"/>
      <c r="Q13" s="15">
        <v>5</v>
      </c>
      <c r="R13" s="15" t="s">
        <v>76</v>
      </c>
      <c r="S13" s="15">
        <v>1.5</v>
      </c>
      <c r="T13" s="16">
        <v>2</v>
      </c>
      <c r="U13" s="15" t="s">
        <v>63</v>
      </c>
      <c r="V13" s="15" t="s">
        <v>63</v>
      </c>
      <c r="W13" s="16" t="s">
        <v>265</v>
      </c>
      <c r="X13" s="16"/>
    </row>
    <row r="14" spans="1:24" ht="33.75" customHeight="1" x14ac:dyDescent="0.25">
      <c r="A14" s="15">
        <v>26</v>
      </c>
      <c r="B14" s="15" t="s">
        <v>96</v>
      </c>
      <c r="C14" s="6" t="s">
        <v>151</v>
      </c>
      <c r="D14" s="6"/>
      <c r="E14" s="26" t="s">
        <v>152</v>
      </c>
      <c r="F14" s="26" t="s">
        <v>153</v>
      </c>
      <c r="G14" s="26"/>
      <c r="H14" s="26"/>
      <c r="I14" s="26"/>
      <c r="J14" s="26"/>
      <c r="K14" s="26"/>
      <c r="L14" s="26"/>
      <c r="M14" s="26"/>
      <c r="N14" s="26"/>
      <c r="O14" s="15">
        <v>1</v>
      </c>
      <c r="P14" s="6"/>
      <c r="Q14" s="15">
        <v>1</v>
      </c>
      <c r="R14" s="15" t="s">
        <v>76</v>
      </c>
      <c r="S14" s="15">
        <v>1.5</v>
      </c>
      <c r="T14" s="16">
        <v>2</v>
      </c>
      <c r="U14" s="15" t="s">
        <v>75</v>
      </c>
      <c r="V14" s="15" t="s">
        <v>63</v>
      </c>
      <c r="W14" s="16" t="s">
        <v>265</v>
      </c>
      <c r="X14" s="16"/>
    </row>
    <row r="15" spans="1:24" ht="33.75" customHeight="1" x14ac:dyDescent="0.25">
      <c r="A15" s="15">
        <v>27</v>
      </c>
      <c r="B15" s="15" t="s">
        <v>96</v>
      </c>
      <c r="C15" s="6" t="s">
        <v>155</v>
      </c>
      <c r="D15" s="6"/>
      <c r="E15" s="26" t="s">
        <v>156</v>
      </c>
      <c r="F15" s="26" t="s">
        <v>157</v>
      </c>
      <c r="G15" s="26" t="s">
        <v>158</v>
      </c>
      <c r="H15" s="26" t="s">
        <v>159</v>
      </c>
      <c r="I15" s="26" t="s">
        <v>160</v>
      </c>
      <c r="J15" s="26"/>
      <c r="K15" s="26"/>
      <c r="L15" s="26"/>
      <c r="M15" s="26"/>
      <c r="N15" s="26"/>
      <c r="O15" s="15">
        <v>4</v>
      </c>
      <c r="P15" s="6"/>
      <c r="Q15" s="15">
        <v>2</v>
      </c>
      <c r="R15" s="15" t="s">
        <v>62</v>
      </c>
      <c r="S15" s="15">
        <v>0.5</v>
      </c>
      <c r="T15" s="16">
        <v>1</v>
      </c>
      <c r="U15" s="15" t="s">
        <v>63</v>
      </c>
      <c r="V15" s="15" t="s">
        <v>63</v>
      </c>
      <c r="W15" s="16" t="s">
        <v>265</v>
      </c>
      <c r="X15" s="16"/>
    </row>
    <row r="16" spans="1:24" ht="33.75" customHeight="1" x14ac:dyDescent="0.25">
      <c r="A16" s="15">
        <v>29</v>
      </c>
      <c r="B16" s="15" t="s">
        <v>96</v>
      </c>
      <c r="C16" s="6" t="s">
        <v>154</v>
      </c>
      <c r="D16" s="6"/>
      <c r="E16" s="26" t="s">
        <v>173</v>
      </c>
      <c r="F16" s="26" t="s">
        <v>172</v>
      </c>
      <c r="G16" s="26"/>
      <c r="H16" s="26"/>
      <c r="I16" s="26"/>
      <c r="J16" s="26"/>
      <c r="K16" s="26"/>
      <c r="L16" s="26"/>
      <c r="M16" s="26"/>
      <c r="N16" s="26"/>
      <c r="O16" s="15">
        <v>2</v>
      </c>
      <c r="P16" s="6"/>
      <c r="Q16" s="15">
        <v>5</v>
      </c>
      <c r="R16" s="15" t="s">
        <v>76</v>
      </c>
      <c r="S16" s="15">
        <v>1.5</v>
      </c>
      <c r="T16" s="16">
        <v>5</v>
      </c>
      <c r="U16" s="15" t="s">
        <v>63</v>
      </c>
      <c r="V16" s="15" t="s">
        <v>75</v>
      </c>
      <c r="W16" s="16" t="s">
        <v>265</v>
      </c>
      <c r="X16" s="16"/>
    </row>
    <row r="17" spans="1:24" ht="33.75" customHeight="1" x14ac:dyDescent="0.25">
      <c r="A17" s="15">
        <v>33</v>
      </c>
      <c r="B17" s="15" t="s">
        <v>98</v>
      </c>
      <c r="C17" s="6" t="s">
        <v>165</v>
      </c>
      <c r="D17" s="6"/>
      <c r="E17" s="26" t="s">
        <v>24</v>
      </c>
      <c r="F17" s="26" t="s">
        <v>166</v>
      </c>
      <c r="G17" s="26" t="s">
        <v>167</v>
      </c>
      <c r="H17" s="26"/>
      <c r="I17" s="26"/>
      <c r="J17" s="26"/>
      <c r="K17" s="26"/>
      <c r="L17" s="26"/>
      <c r="M17" s="26"/>
      <c r="N17" s="26"/>
      <c r="O17" s="15">
        <v>2</v>
      </c>
      <c r="P17" s="6"/>
      <c r="Q17" s="15">
        <v>6</v>
      </c>
      <c r="R17" s="15" t="s">
        <v>76</v>
      </c>
      <c r="S17" s="15">
        <v>1.5</v>
      </c>
      <c r="T17" s="16">
        <v>4</v>
      </c>
      <c r="U17" s="15" t="s">
        <v>63</v>
      </c>
      <c r="V17" s="15" t="s">
        <v>63</v>
      </c>
      <c r="W17" s="16" t="s">
        <v>265</v>
      </c>
      <c r="X17" s="16"/>
    </row>
    <row r="18" spans="1:24" ht="33.75" customHeight="1" x14ac:dyDescent="0.25">
      <c r="A18" s="15">
        <v>39</v>
      </c>
      <c r="B18" s="15" t="s">
        <v>101</v>
      </c>
      <c r="C18" s="6" t="s">
        <v>208</v>
      </c>
      <c r="D18" s="6"/>
      <c r="E18" s="26" t="s">
        <v>209</v>
      </c>
      <c r="F18" s="26" t="s">
        <v>210</v>
      </c>
      <c r="G18" s="26" t="s">
        <v>211</v>
      </c>
      <c r="H18" s="26"/>
      <c r="I18" s="26"/>
      <c r="J18" s="26"/>
      <c r="K18" s="26"/>
      <c r="L18" s="26"/>
      <c r="M18" s="26"/>
      <c r="N18" s="26"/>
      <c r="O18" s="15">
        <v>3</v>
      </c>
      <c r="P18" s="6"/>
      <c r="Q18" s="15">
        <v>4</v>
      </c>
      <c r="R18" s="15" t="s">
        <v>76</v>
      </c>
      <c r="S18" s="15">
        <v>1.5</v>
      </c>
      <c r="T18" s="16">
        <v>7</v>
      </c>
      <c r="U18" s="15" t="s">
        <v>63</v>
      </c>
      <c r="V18" s="15" t="s">
        <v>75</v>
      </c>
      <c r="W18" s="16" t="s">
        <v>265</v>
      </c>
      <c r="X18" s="16"/>
    </row>
    <row r="19" spans="1:24" ht="33.75" customHeight="1" x14ac:dyDescent="0.25">
      <c r="A19" s="15">
        <v>43</v>
      </c>
      <c r="B19" s="15" t="s">
        <v>103</v>
      </c>
      <c r="C19" s="6" t="s">
        <v>217</v>
      </c>
      <c r="D19" s="6"/>
      <c r="E19" s="26" t="b">
        <v>1</v>
      </c>
      <c r="F19" s="26" t="b">
        <v>0</v>
      </c>
      <c r="G19" s="26"/>
      <c r="H19" s="26"/>
      <c r="I19" s="26"/>
      <c r="J19" s="26"/>
      <c r="K19" s="26"/>
      <c r="L19" s="26"/>
      <c r="M19" s="26"/>
      <c r="N19" s="26"/>
      <c r="O19" s="15">
        <v>1</v>
      </c>
      <c r="P19" s="6"/>
      <c r="Q19" s="15">
        <v>3</v>
      </c>
      <c r="R19" s="15" t="s">
        <v>77</v>
      </c>
      <c r="S19" s="15">
        <v>2.5</v>
      </c>
      <c r="T19" s="16">
        <v>3</v>
      </c>
      <c r="U19" s="15" t="s">
        <v>63</v>
      </c>
      <c r="V19" s="15" t="s">
        <v>75</v>
      </c>
      <c r="W19" s="16" t="s">
        <v>265</v>
      </c>
      <c r="X19" s="16"/>
    </row>
    <row r="20" spans="1:24" ht="33.75" customHeight="1" x14ac:dyDescent="0.25">
      <c r="A20" s="15">
        <v>48</v>
      </c>
      <c r="B20" s="15" t="s">
        <v>104</v>
      </c>
      <c r="C20" s="6" t="s">
        <v>229</v>
      </c>
      <c r="D20" s="6"/>
      <c r="E20" s="26" t="s">
        <v>230</v>
      </c>
      <c r="F20" s="26" t="s">
        <v>231</v>
      </c>
      <c r="G20" s="26" t="s">
        <v>232</v>
      </c>
      <c r="H20" s="26" t="s">
        <v>233</v>
      </c>
      <c r="I20" s="26"/>
      <c r="J20" s="26"/>
      <c r="K20" s="26"/>
      <c r="L20" s="26"/>
      <c r="M20" s="26"/>
      <c r="N20" s="26"/>
      <c r="O20" s="15">
        <v>4</v>
      </c>
      <c r="P20" s="6"/>
      <c r="Q20" s="15">
        <v>8</v>
      </c>
      <c r="R20" s="15" t="s">
        <v>77</v>
      </c>
      <c r="S20" s="15">
        <v>2.5</v>
      </c>
      <c r="T20" s="16">
        <v>5</v>
      </c>
      <c r="U20" s="15" t="s">
        <v>75</v>
      </c>
      <c r="V20" s="15" t="s">
        <v>75</v>
      </c>
      <c r="W20" s="16" t="s">
        <v>265</v>
      </c>
      <c r="X20" s="16"/>
    </row>
  </sheetData>
  <autoFilter ref="W1:W20" xr:uid="{074AD0D5-B1A8-415B-80B3-A2858290E921}"/>
  <mergeCells count="1">
    <mergeCell ref="E3:N3"/>
  </mergeCells>
  <dataValidations disablePrompts="1" count="3">
    <dataValidation type="list" allowBlank="1" showInputMessage="1" showErrorMessage="1" sqref="B5:B20" xr:uid="{276EDC55-F191-46EF-9B63-8FE47F73C19B}">
      <formula1>TopicList</formula1>
    </dataValidation>
    <dataValidation type="list" allowBlank="1" showInputMessage="1" showErrorMessage="1" sqref="U5:V20" xr:uid="{14B3A984-5712-48FA-B3C5-557E1C79A8EB}">
      <formula1>"Yes,No"</formula1>
    </dataValidation>
    <dataValidation type="list" allowBlank="1" showInputMessage="1" showErrorMessage="1" sqref="R5:R20" xr:uid="{B106CBCF-AF1E-4A8E-B4D7-E8018CBA0AFC}">
      <formula1>"Easy,Medium,Hard"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A04F-80A7-4B89-9624-68D822042657}">
  <dimension ref="A1:X21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4.25" x14ac:dyDescent="0.25"/>
  <cols>
    <col min="1" max="1" width="6.140625" style="3" customWidth="1"/>
    <col min="2" max="2" width="18.5703125" style="3" customWidth="1"/>
    <col min="3" max="3" width="59" style="3" customWidth="1"/>
    <col min="4" max="4" width="28.42578125" style="3" customWidth="1"/>
    <col min="5" max="9" width="13" style="3" customWidth="1"/>
    <col min="10" max="14" width="13" style="3" hidden="1" customWidth="1"/>
    <col min="15" max="15" width="10.5703125" style="3" customWidth="1"/>
    <col min="16" max="16" width="36" style="3" customWidth="1"/>
    <col min="17" max="24" width="28.42578125" style="3" customWidth="1"/>
    <col min="25" max="16384" width="9.140625" style="3"/>
  </cols>
  <sheetData>
    <row r="1" spans="1:24" ht="24.75" customHeight="1" x14ac:dyDescent="0.25">
      <c r="A1" s="1"/>
      <c r="B1" s="1" t="s">
        <v>32</v>
      </c>
      <c r="C1" s="2"/>
      <c r="D1" s="35" t="s">
        <v>268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" x14ac:dyDescent="0.25">
      <c r="B2" s="14" t="s">
        <v>42</v>
      </c>
      <c r="Q2" s="14" t="s">
        <v>41</v>
      </c>
      <c r="U2" s="14" t="s">
        <v>51</v>
      </c>
    </row>
    <row r="3" spans="1:24" s="9" customFormat="1" ht="33" x14ac:dyDescent="0.25">
      <c r="A3" s="13" t="s">
        <v>50</v>
      </c>
      <c r="B3" s="13" t="s">
        <v>54</v>
      </c>
      <c r="C3" s="13" t="s">
        <v>33</v>
      </c>
      <c r="D3" s="13" t="s">
        <v>35</v>
      </c>
      <c r="E3" s="30" t="s">
        <v>38</v>
      </c>
      <c r="F3" s="31"/>
      <c r="G3" s="31"/>
      <c r="H3" s="31"/>
      <c r="I3" s="31"/>
      <c r="J3" s="31"/>
      <c r="K3" s="31"/>
      <c r="L3" s="31"/>
      <c r="M3" s="31"/>
      <c r="N3" s="32"/>
      <c r="O3" s="13" t="s">
        <v>37</v>
      </c>
      <c r="P3" s="13" t="s">
        <v>36</v>
      </c>
      <c r="Q3" s="13" t="s">
        <v>45</v>
      </c>
      <c r="R3" s="13" t="s">
        <v>44</v>
      </c>
      <c r="S3" s="13" t="s">
        <v>47</v>
      </c>
      <c r="T3" s="13" t="s">
        <v>49</v>
      </c>
      <c r="U3" s="13" t="s">
        <v>52</v>
      </c>
      <c r="V3" s="13" t="s">
        <v>53</v>
      </c>
      <c r="W3" s="13" t="s">
        <v>55</v>
      </c>
      <c r="X3" s="13" t="s">
        <v>272</v>
      </c>
    </row>
    <row r="4" spans="1:24" s="11" customFormat="1" ht="16.5" x14ac:dyDescent="0.25">
      <c r="A4" s="10"/>
      <c r="B4" s="10" t="s">
        <v>46</v>
      </c>
      <c r="C4" s="10" t="s">
        <v>34</v>
      </c>
      <c r="D4" s="10" t="s">
        <v>34</v>
      </c>
      <c r="E4" s="10" t="s">
        <v>39</v>
      </c>
      <c r="F4" s="10" t="s">
        <v>40</v>
      </c>
      <c r="G4" s="10">
        <v>3</v>
      </c>
      <c r="H4" s="10">
        <v>4</v>
      </c>
      <c r="I4" s="10">
        <v>5</v>
      </c>
      <c r="J4" s="10">
        <v>6</v>
      </c>
      <c r="K4" s="10">
        <v>7</v>
      </c>
      <c r="L4" s="10">
        <v>8</v>
      </c>
      <c r="M4" s="10">
        <v>9</v>
      </c>
      <c r="N4" s="10">
        <v>10</v>
      </c>
      <c r="O4" s="10"/>
      <c r="P4" s="10" t="s">
        <v>34</v>
      </c>
      <c r="Q4" s="10" t="s">
        <v>43</v>
      </c>
      <c r="R4" s="10" t="s">
        <v>46</v>
      </c>
      <c r="S4" s="10" t="s">
        <v>48</v>
      </c>
      <c r="T4" s="10" t="s">
        <v>43</v>
      </c>
      <c r="U4" s="10" t="s">
        <v>46</v>
      </c>
      <c r="V4" s="10" t="s">
        <v>46</v>
      </c>
      <c r="W4" s="10" t="s">
        <v>56</v>
      </c>
      <c r="X4" s="10" t="s">
        <v>273</v>
      </c>
    </row>
    <row r="5" spans="1:24" ht="33.75" customHeight="1" x14ac:dyDescent="0.25">
      <c r="A5" s="15">
        <v>2</v>
      </c>
      <c r="B5" s="15" t="s">
        <v>60</v>
      </c>
      <c r="C5" s="6" t="s">
        <v>72</v>
      </c>
      <c r="D5" s="6"/>
      <c r="E5" s="26">
        <v>0</v>
      </c>
      <c r="F5" s="26">
        <v>1</v>
      </c>
      <c r="G5" s="26">
        <v>2</v>
      </c>
      <c r="H5" s="26">
        <v>3</v>
      </c>
      <c r="I5" s="26"/>
      <c r="J5" s="26"/>
      <c r="K5" s="26"/>
      <c r="L5" s="26"/>
      <c r="M5" s="26"/>
      <c r="N5" s="26"/>
      <c r="O5" s="15">
        <v>2</v>
      </c>
      <c r="P5" s="6" t="s">
        <v>73</v>
      </c>
      <c r="Q5" s="15">
        <v>2</v>
      </c>
      <c r="R5" s="15" t="s">
        <v>76</v>
      </c>
      <c r="S5" s="15">
        <v>1.5</v>
      </c>
      <c r="T5" s="16" t="s">
        <v>74</v>
      </c>
      <c r="U5" s="15" t="s">
        <v>75</v>
      </c>
      <c r="V5" s="15" t="s">
        <v>63</v>
      </c>
      <c r="W5" s="16" t="s">
        <v>266</v>
      </c>
      <c r="X5" s="16" t="s">
        <v>265</v>
      </c>
    </row>
    <row r="6" spans="1:24" ht="33.75" customHeight="1" x14ac:dyDescent="0.25">
      <c r="A6" s="15">
        <v>7</v>
      </c>
      <c r="B6" s="15" t="s">
        <v>87</v>
      </c>
      <c r="C6" s="6" t="s">
        <v>243</v>
      </c>
      <c r="D6" s="6"/>
      <c r="E6" s="26">
        <v>13</v>
      </c>
      <c r="F6" s="26">
        <v>25</v>
      </c>
      <c r="G6" s="26">
        <v>28</v>
      </c>
      <c r="H6" s="26">
        <v>-28</v>
      </c>
      <c r="I6" s="26"/>
      <c r="J6" s="26"/>
      <c r="K6" s="26"/>
      <c r="L6" s="26"/>
      <c r="M6" s="26"/>
      <c r="N6" s="26"/>
      <c r="O6" s="15">
        <v>3</v>
      </c>
      <c r="P6" s="6"/>
      <c r="Q6" s="15">
        <v>3</v>
      </c>
      <c r="R6" s="15" t="s">
        <v>77</v>
      </c>
      <c r="S6" s="15">
        <v>2.5</v>
      </c>
      <c r="T6" s="16">
        <v>5</v>
      </c>
      <c r="U6" s="15" t="s">
        <v>75</v>
      </c>
      <c r="V6" s="15" t="s">
        <v>63</v>
      </c>
      <c r="W6" s="16" t="s">
        <v>266</v>
      </c>
      <c r="X6" s="16" t="s">
        <v>267</v>
      </c>
    </row>
    <row r="7" spans="1:24" ht="33.75" customHeight="1" x14ac:dyDescent="0.25">
      <c r="A7" s="15">
        <v>12</v>
      </c>
      <c r="B7" s="15" t="s">
        <v>90</v>
      </c>
      <c r="C7" s="6" t="s">
        <v>112</v>
      </c>
      <c r="D7" s="6"/>
      <c r="E7" s="26">
        <v>70</v>
      </c>
      <c r="F7" s="26">
        <v>25</v>
      </c>
      <c r="G7" s="26">
        <v>50</v>
      </c>
      <c r="H7" s="26">
        <v>75</v>
      </c>
      <c r="I7" s="26"/>
      <c r="J7" s="26"/>
      <c r="K7" s="26"/>
      <c r="L7" s="26"/>
      <c r="M7" s="26"/>
      <c r="N7" s="26"/>
      <c r="O7" s="15">
        <v>4</v>
      </c>
      <c r="P7" s="6" t="s">
        <v>113</v>
      </c>
      <c r="Q7" s="15">
        <v>1</v>
      </c>
      <c r="R7" s="15" t="s">
        <v>76</v>
      </c>
      <c r="S7" s="15">
        <v>1.5</v>
      </c>
      <c r="T7" s="16">
        <v>3</v>
      </c>
      <c r="U7" s="15" t="s">
        <v>75</v>
      </c>
      <c r="V7" s="15" t="s">
        <v>63</v>
      </c>
      <c r="W7" s="16" t="s">
        <v>266</v>
      </c>
      <c r="X7" s="16" t="s">
        <v>267</v>
      </c>
    </row>
    <row r="8" spans="1:24" ht="33.75" customHeight="1" x14ac:dyDescent="0.25">
      <c r="A8" s="15">
        <v>17</v>
      </c>
      <c r="B8" s="15" t="s">
        <v>92</v>
      </c>
      <c r="C8" s="6" t="s">
        <v>121</v>
      </c>
      <c r="D8" s="6"/>
      <c r="E8" s="26" t="s">
        <v>123</v>
      </c>
      <c r="F8" s="26" t="s">
        <v>125</v>
      </c>
      <c r="G8" s="26" t="s">
        <v>124</v>
      </c>
      <c r="H8" s="26" t="s">
        <v>122</v>
      </c>
      <c r="I8" s="26"/>
      <c r="J8" s="26"/>
      <c r="K8" s="26"/>
      <c r="L8" s="26"/>
      <c r="M8" s="26"/>
      <c r="N8" s="26"/>
      <c r="O8" s="15">
        <v>4</v>
      </c>
      <c r="P8" s="6"/>
      <c r="Q8" s="15">
        <v>1</v>
      </c>
      <c r="R8" s="15" t="s">
        <v>76</v>
      </c>
      <c r="S8" s="15">
        <v>1.5</v>
      </c>
      <c r="T8" s="16">
        <v>5</v>
      </c>
      <c r="U8" s="15" t="s">
        <v>75</v>
      </c>
      <c r="V8" s="15" t="s">
        <v>63</v>
      </c>
      <c r="W8" s="16" t="s">
        <v>266</v>
      </c>
      <c r="X8" s="16"/>
    </row>
    <row r="9" spans="1:24" ht="33.75" customHeight="1" x14ac:dyDescent="0.25">
      <c r="A9" s="15">
        <v>23</v>
      </c>
      <c r="B9" s="15" t="s">
        <v>95</v>
      </c>
      <c r="C9" s="6" t="s">
        <v>179</v>
      </c>
      <c r="D9" s="6"/>
      <c r="E9" s="26" t="s">
        <v>180</v>
      </c>
      <c r="F9" s="26" t="s">
        <v>181</v>
      </c>
      <c r="G9" s="26" t="s">
        <v>182</v>
      </c>
      <c r="H9" s="26" t="s">
        <v>183</v>
      </c>
      <c r="I9" s="26"/>
      <c r="J9" s="26"/>
      <c r="K9" s="26"/>
      <c r="L9" s="26"/>
      <c r="M9" s="26"/>
      <c r="N9" s="26"/>
      <c r="O9" s="15">
        <v>1</v>
      </c>
      <c r="P9" s="6"/>
      <c r="Q9" s="15">
        <v>6</v>
      </c>
      <c r="R9" s="15" t="s">
        <v>77</v>
      </c>
      <c r="S9" s="15">
        <v>2.5</v>
      </c>
      <c r="T9" s="16">
        <v>6</v>
      </c>
      <c r="U9" s="15" t="s">
        <v>75</v>
      </c>
      <c r="V9" s="15" t="s">
        <v>75</v>
      </c>
      <c r="W9" s="16" t="s">
        <v>266</v>
      </c>
      <c r="X9" s="16"/>
    </row>
    <row r="10" spans="1:24" ht="33.75" customHeight="1" x14ac:dyDescent="0.25">
      <c r="A10" s="15">
        <v>25</v>
      </c>
      <c r="B10" s="15" t="s">
        <v>95</v>
      </c>
      <c r="C10" s="6" t="s">
        <v>187</v>
      </c>
      <c r="D10" s="6"/>
      <c r="E10" s="26">
        <v>216</v>
      </c>
      <c r="F10" s="26">
        <v>50</v>
      </c>
      <c r="G10" s="26">
        <v>500</v>
      </c>
      <c r="H10" s="26">
        <v>1000</v>
      </c>
      <c r="I10" s="26"/>
      <c r="J10" s="26"/>
      <c r="K10" s="26"/>
      <c r="L10" s="26"/>
      <c r="M10" s="26"/>
      <c r="N10" s="26"/>
      <c r="O10" s="15">
        <v>1</v>
      </c>
      <c r="P10" s="6"/>
      <c r="Q10" s="15">
        <v>2</v>
      </c>
      <c r="R10" s="15" t="s">
        <v>62</v>
      </c>
      <c r="S10" s="15">
        <v>0.5</v>
      </c>
      <c r="T10" s="16">
        <v>8</v>
      </c>
      <c r="U10" s="15" t="s">
        <v>63</v>
      </c>
      <c r="V10" s="15" t="s">
        <v>75</v>
      </c>
      <c r="W10" s="16" t="s">
        <v>266</v>
      </c>
      <c r="X10" s="16"/>
    </row>
    <row r="11" spans="1:24" ht="33.75" customHeight="1" x14ac:dyDescent="0.25">
      <c r="A11" s="15">
        <v>31</v>
      </c>
      <c r="B11" s="15" t="s">
        <v>97</v>
      </c>
      <c r="C11" s="6" t="s">
        <v>245</v>
      </c>
      <c r="D11" s="6"/>
      <c r="E11" s="27">
        <v>45519</v>
      </c>
      <c r="F11" s="27">
        <v>45317</v>
      </c>
      <c r="G11" s="27">
        <v>45567</v>
      </c>
      <c r="H11" s="26"/>
      <c r="I11" s="26"/>
      <c r="J11" s="26"/>
      <c r="K11" s="26"/>
      <c r="L11" s="26"/>
      <c r="M11" s="26"/>
      <c r="N11" s="26"/>
      <c r="O11" s="15">
        <v>1</v>
      </c>
      <c r="P11" s="6"/>
      <c r="Q11" s="15">
        <v>5</v>
      </c>
      <c r="R11" s="15" t="s">
        <v>77</v>
      </c>
      <c r="S11" s="15">
        <v>2.5</v>
      </c>
      <c r="T11" s="16">
        <v>5</v>
      </c>
      <c r="U11" s="15" t="s">
        <v>63</v>
      </c>
      <c r="V11" s="15" t="s">
        <v>63</v>
      </c>
      <c r="W11" s="16" t="s">
        <v>266</v>
      </c>
      <c r="X11" s="16"/>
    </row>
    <row r="12" spans="1:24" ht="33.75" customHeight="1" x14ac:dyDescent="0.25">
      <c r="A12" s="15">
        <v>32</v>
      </c>
      <c r="B12" s="15" t="s">
        <v>97</v>
      </c>
      <c r="C12" s="6" t="s">
        <v>174</v>
      </c>
      <c r="D12" s="6"/>
      <c r="E12" s="26" t="s">
        <v>177</v>
      </c>
      <c r="F12" s="26" t="s">
        <v>175</v>
      </c>
      <c r="G12" s="26" t="s">
        <v>176</v>
      </c>
      <c r="H12" s="26" t="s">
        <v>135</v>
      </c>
      <c r="I12" s="26" t="s">
        <v>178</v>
      </c>
      <c r="J12" s="26"/>
      <c r="K12" s="26"/>
      <c r="L12" s="26"/>
      <c r="M12" s="26"/>
      <c r="N12" s="26"/>
      <c r="O12" s="15">
        <v>3</v>
      </c>
      <c r="P12" s="6"/>
      <c r="Q12" s="15">
        <v>3</v>
      </c>
      <c r="R12" s="15" t="s">
        <v>76</v>
      </c>
      <c r="S12" s="15">
        <v>1.5</v>
      </c>
      <c r="T12" s="16">
        <v>6</v>
      </c>
      <c r="U12" s="15" t="s">
        <v>75</v>
      </c>
      <c r="V12" s="15" t="s">
        <v>75</v>
      </c>
      <c r="W12" s="16" t="s">
        <v>266</v>
      </c>
      <c r="X12" s="16"/>
    </row>
    <row r="13" spans="1:24" ht="33.75" customHeight="1" x14ac:dyDescent="0.25">
      <c r="A13" s="15">
        <v>36</v>
      </c>
      <c r="B13" s="15" t="s">
        <v>100</v>
      </c>
      <c r="C13" s="6" t="s">
        <v>195</v>
      </c>
      <c r="D13" s="6"/>
      <c r="E13" s="26" t="s">
        <v>199</v>
      </c>
      <c r="F13" s="26" t="s">
        <v>196</v>
      </c>
      <c r="G13" s="26" t="s">
        <v>197</v>
      </c>
      <c r="H13" s="26" t="s">
        <v>198</v>
      </c>
      <c r="I13" s="26"/>
      <c r="J13" s="26"/>
      <c r="K13" s="26"/>
      <c r="L13" s="26"/>
      <c r="M13" s="26"/>
      <c r="N13" s="26"/>
      <c r="O13" s="15">
        <v>2</v>
      </c>
      <c r="P13" s="6"/>
      <c r="Q13" s="15">
        <v>5</v>
      </c>
      <c r="R13" s="15" t="s">
        <v>77</v>
      </c>
      <c r="S13" s="15">
        <v>2.5</v>
      </c>
      <c r="T13" s="16">
        <v>6</v>
      </c>
      <c r="U13" s="15" t="s">
        <v>75</v>
      </c>
      <c r="V13" s="15" t="s">
        <v>63</v>
      </c>
      <c r="W13" s="16" t="s">
        <v>266</v>
      </c>
      <c r="X13" s="16"/>
    </row>
    <row r="14" spans="1:24" ht="33.75" customHeight="1" x14ac:dyDescent="0.25">
      <c r="A14" s="15">
        <v>41</v>
      </c>
      <c r="B14" s="15" t="s">
        <v>102</v>
      </c>
      <c r="C14" s="6" t="s">
        <v>213</v>
      </c>
      <c r="D14" s="6"/>
      <c r="E14" s="26">
        <v>1986</v>
      </c>
      <c r="F14" s="26">
        <v>1985</v>
      </c>
      <c r="G14" s="26">
        <v>1987</v>
      </c>
      <c r="H14" s="26">
        <v>1984</v>
      </c>
      <c r="I14" s="26"/>
      <c r="J14" s="26"/>
      <c r="K14" s="26"/>
      <c r="L14" s="26"/>
      <c r="M14" s="26"/>
      <c r="N14" s="26"/>
      <c r="O14" s="15">
        <v>2</v>
      </c>
      <c r="P14" s="6"/>
      <c r="Q14" s="15">
        <v>5</v>
      </c>
      <c r="R14" s="15" t="s">
        <v>76</v>
      </c>
      <c r="S14" s="15">
        <v>1.5</v>
      </c>
      <c r="T14" s="16">
        <v>2</v>
      </c>
      <c r="U14" s="15" t="s">
        <v>63</v>
      </c>
      <c r="V14" s="15" t="s">
        <v>75</v>
      </c>
      <c r="W14" s="16" t="s">
        <v>266</v>
      </c>
      <c r="X14" s="16"/>
    </row>
    <row r="15" spans="1:24" ht="33.75" customHeight="1" x14ac:dyDescent="0.25">
      <c r="A15" s="15">
        <v>42</v>
      </c>
      <c r="B15" s="15" t="s">
        <v>102</v>
      </c>
      <c r="C15" s="6" t="s">
        <v>214</v>
      </c>
      <c r="D15" s="6"/>
      <c r="E15" s="26" t="s">
        <v>215</v>
      </c>
      <c r="F15" s="26" t="s">
        <v>30</v>
      </c>
      <c r="G15" s="26" t="s">
        <v>216</v>
      </c>
      <c r="H15" s="26"/>
      <c r="I15" s="26"/>
      <c r="J15" s="26"/>
      <c r="K15" s="26"/>
      <c r="L15" s="26"/>
      <c r="M15" s="26"/>
      <c r="N15" s="26"/>
      <c r="O15" s="15">
        <v>1</v>
      </c>
      <c r="P15" s="6"/>
      <c r="Q15" s="15">
        <v>2</v>
      </c>
      <c r="R15" s="15" t="s">
        <v>77</v>
      </c>
      <c r="S15" s="15">
        <v>2.5</v>
      </c>
      <c r="T15" s="16">
        <v>5</v>
      </c>
      <c r="U15" s="15" t="s">
        <v>75</v>
      </c>
      <c r="V15" s="15" t="s">
        <v>75</v>
      </c>
      <c r="W15" s="16" t="s">
        <v>266</v>
      </c>
      <c r="X15" s="16"/>
    </row>
    <row r="16" spans="1:24" ht="33.75" customHeight="1" x14ac:dyDescent="0.25">
      <c r="A16" s="15">
        <v>44</v>
      </c>
      <c r="B16" s="15" t="s">
        <v>103</v>
      </c>
      <c r="C16" s="6" t="s">
        <v>218</v>
      </c>
      <c r="D16" s="6"/>
      <c r="E16" s="26" t="s">
        <v>219</v>
      </c>
      <c r="F16" s="26" t="s">
        <v>220</v>
      </c>
      <c r="G16" s="26" t="s">
        <v>221</v>
      </c>
      <c r="H16" s="26"/>
      <c r="I16" s="26"/>
      <c r="J16" s="26"/>
      <c r="K16" s="26"/>
      <c r="L16" s="26"/>
      <c r="M16" s="26"/>
      <c r="N16" s="26"/>
      <c r="O16" s="15">
        <v>1</v>
      </c>
      <c r="P16" s="6"/>
      <c r="Q16" s="15">
        <v>5</v>
      </c>
      <c r="R16" s="15" t="s">
        <v>62</v>
      </c>
      <c r="S16" s="15">
        <v>0.5</v>
      </c>
      <c r="T16" s="16">
        <v>4</v>
      </c>
      <c r="U16" s="15" t="s">
        <v>75</v>
      </c>
      <c r="V16" s="15" t="s">
        <v>75</v>
      </c>
      <c r="W16" s="16" t="s">
        <v>266</v>
      </c>
      <c r="X16" s="16"/>
    </row>
    <row r="17" spans="1:24" ht="33.75" customHeight="1" x14ac:dyDescent="0.25">
      <c r="A17" s="15">
        <v>45</v>
      </c>
      <c r="B17" s="15" t="s">
        <v>103</v>
      </c>
      <c r="C17" s="6" t="s">
        <v>222</v>
      </c>
      <c r="D17" s="6"/>
      <c r="E17" s="26">
        <v>1882</v>
      </c>
      <c r="F17" s="26">
        <v>1709</v>
      </c>
      <c r="G17" s="26">
        <v>1774</v>
      </c>
      <c r="H17" s="26"/>
      <c r="I17" s="26"/>
      <c r="J17" s="26"/>
      <c r="K17" s="26"/>
      <c r="L17" s="26"/>
      <c r="M17" s="26"/>
      <c r="N17" s="26"/>
      <c r="O17" s="15">
        <v>3</v>
      </c>
      <c r="P17" s="6"/>
      <c r="Q17" s="15">
        <v>5</v>
      </c>
      <c r="R17" s="15" t="s">
        <v>76</v>
      </c>
      <c r="S17" s="15">
        <v>1.5</v>
      </c>
      <c r="T17" s="16">
        <v>7</v>
      </c>
      <c r="U17" s="15" t="s">
        <v>63</v>
      </c>
      <c r="V17" s="15" t="s">
        <v>63</v>
      </c>
      <c r="W17" s="16" t="s">
        <v>266</v>
      </c>
      <c r="X17" s="16"/>
    </row>
    <row r="18" spans="1:24" ht="51" customHeight="1" x14ac:dyDescent="0.25">
      <c r="A18" s="15">
        <v>46</v>
      </c>
      <c r="B18" s="15" t="s">
        <v>103</v>
      </c>
      <c r="C18" s="6" t="s">
        <v>223</v>
      </c>
      <c r="D18" s="6"/>
      <c r="E18" s="26" t="s">
        <v>224</v>
      </c>
      <c r="F18" s="26" t="s">
        <v>225</v>
      </c>
      <c r="G18" s="26" t="s">
        <v>226</v>
      </c>
      <c r="H18" s="26" t="s">
        <v>227</v>
      </c>
      <c r="I18" s="26"/>
      <c r="J18" s="26"/>
      <c r="K18" s="26"/>
      <c r="L18" s="26"/>
      <c r="M18" s="26"/>
      <c r="N18" s="26"/>
      <c r="O18" s="15">
        <v>3</v>
      </c>
      <c r="P18" s="6"/>
      <c r="Q18" s="15">
        <v>6</v>
      </c>
      <c r="R18" s="15" t="s">
        <v>76</v>
      </c>
      <c r="S18" s="15">
        <v>1.5</v>
      </c>
      <c r="T18" s="16">
        <v>8</v>
      </c>
      <c r="U18" s="15" t="s">
        <v>63</v>
      </c>
      <c r="V18" s="15" t="s">
        <v>63</v>
      </c>
      <c r="W18" s="16" t="s">
        <v>266</v>
      </c>
      <c r="X18" s="16"/>
    </row>
    <row r="19" spans="1:24" ht="43.5" customHeight="1" x14ac:dyDescent="0.25">
      <c r="A19" s="15">
        <v>47</v>
      </c>
      <c r="B19" s="15" t="s">
        <v>103</v>
      </c>
      <c r="C19" s="6" t="s">
        <v>228</v>
      </c>
      <c r="D19" s="6"/>
      <c r="E19" s="26" t="b">
        <v>1</v>
      </c>
      <c r="F19" s="26" t="b">
        <v>0</v>
      </c>
      <c r="G19" s="26"/>
      <c r="H19" s="26"/>
      <c r="I19" s="26"/>
      <c r="J19" s="26"/>
      <c r="K19" s="26"/>
      <c r="L19" s="26"/>
      <c r="M19" s="26"/>
      <c r="N19" s="26"/>
      <c r="O19" s="15">
        <v>2</v>
      </c>
      <c r="P19" s="6"/>
      <c r="Q19" s="15">
        <v>9</v>
      </c>
      <c r="R19" s="15" t="s">
        <v>77</v>
      </c>
      <c r="S19" s="15">
        <v>2.5</v>
      </c>
      <c r="T19" s="16">
        <v>9</v>
      </c>
      <c r="U19" s="15" t="s">
        <v>75</v>
      </c>
      <c r="V19" s="15" t="s">
        <v>63</v>
      </c>
      <c r="W19" s="16" t="s">
        <v>266</v>
      </c>
      <c r="X19" s="16"/>
    </row>
    <row r="20" spans="1:24" ht="33.75" customHeight="1" x14ac:dyDescent="0.25">
      <c r="A20" s="15">
        <v>49</v>
      </c>
      <c r="B20" s="15" t="s">
        <v>104</v>
      </c>
      <c r="C20" s="6" t="s">
        <v>234</v>
      </c>
      <c r="D20" s="6"/>
      <c r="E20" s="26" t="s">
        <v>235</v>
      </c>
      <c r="F20" s="26" t="s">
        <v>236</v>
      </c>
      <c r="G20" s="26" t="s">
        <v>237</v>
      </c>
      <c r="H20" s="26"/>
      <c r="I20" s="26"/>
      <c r="J20" s="26"/>
      <c r="K20" s="26"/>
      <c r="L20" s="26"/>
      <c r="M20" s="26"/>
      <c r="N20" s="26"/>
      <c r="O20" s="15">
        <v>3</v>
      </c>
      <c r="P20" s="6"/>
      <c r="Q20" s="15">
        <v>7</v>
      </c>
      <c r="R20" s="15" t="s">
        <v>77</v>
      </c>
      <c r="S20" s="15">
        <v>2.5</v>
      </c>
      <c r="T20" s="16">
        <v>4</v>
      </c>
      <c r="U20" s="15" t="s">
        <v>63</v>
      </c>
      <c r="V20" s="15" t="s">
        <v>75</v>
      </c>
      <c r="W20" s="16" t="s">
        <v>266</v>
      </c>
      <c r="X20" s="16"/>
    </row>
    <row r="21" spans="1:24" ht="33.75" customHeight="1" x14ac:dyDescent="0.25">
      <c r="A21" s="15">
        <v>50</v>
      </c>
      <c r="B21" s="15" t="s">
        <v>104</v>
      </c>
      <c r="C21" s="6" t="s">
        <v>238</v>
      </c>
      <c r="D21" s="6"/>
      <c r="E21" s="26" t="b">
        <v>1</v>
      </c>
      <c r="F21" s="26" t="b">
        <v>0</v>
      </c>
      <c r="G21" s="26"/>
      <c r="H21" s="26"/>
      <c r="I21" s="26"/>
      <c r="J21" s="26"/>
      <c r="K21" s="26"/>
      <c r="L21" s="26"/>
      <c r="M21" s="26"/>
      <c r="N21" s="26"/>
      <c r="O21" s="15">
        <v>2</v>
      </c>
      <c r="P21" s="6"/>
      <c r="Q21" s="15">
        <v>1</v>
      </c>
      <c r="R21" s="15" t="s">
        <v>62</v>
      </c>
      <c r="S21" s="15">
        <v>0.5</v>
      </c>
      <c r="T21" s="16">
        <v>2</v>
      </c>
      <c r="U21" s="15" t="s">
        <v>63</v>
      </c>
      <c r="V21" s="15" t="s">
        <v>75</v>
      </c>
      <c r="W21" s="16" t="s">
        <v>266</v>
      </c>
      <c r="X21" s="16"/>
    </row>
  </sheetData>
  <autoFilter ref="W1:W21" xr:uid="{074AD0D5-B1A8-415B-80B3-A2858290E921}"/>
  <mergeCells count="1">
    <mergeCell ref="E3:N3"/>
  </mergeCells>
  <dataValidations count="3">
    <dataValidation type="list" allowBlank="1" showInputMessage="1" showErrorMessage="1" sqref="R5:R21" xr:uid="{9EBF07CB-CF6B-4383-884F-CAA90A50F649}">
      <formula1>"Easy,Medium,Hard"</formula1>
    </dataValidation>
    <dataValidation type="list" allowBlank="1" showInputMessage="1" showErrorMessage="1" sqref="U5:V21" xr:uid="{1D9A51C0-8EEC-4287-987B-7FCA02FD7D7A}">
      <formula1>"Yes,No"</formula1>
    </dataValidation>
    <dataValidation type="list" allowBlank="1" showInputMessage="1" showErrorMessage="1" sqref="B5:B21" xr:uid="{395E574E-B867-4AAD-9F2A-1150006413E7}">
      <formula1>TopicList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0031-8492-4012-B5C1-36576EF13103}">
  <dimension ref="A1:X21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4.25" x14ac:dyDescent="0.25"/>
  <cols>
    <col min="1" max="1" width="6.140625" style="3" customWidth="1"/>
    <col min="2" max="2" width="18.5703125" style="3" customWidth="1"/>
    <col min="3" max="3" width="59" style="3" customWidth="1"/>
    <col min="4" max="4" width="28.42578125" style="3" customWidth="1"/>
    <col min="5" max="9" width="13" style="3" customWidth="1"/>
    <col min="10" max="14" width="13" style="3" hidden="1" customWidth="1"/>
    <col min="15" max="15" width="10.5703125" style="3" customWidth="1"/>
    <col min="16" max="16" width="36" style="3" customWidth="1"/>
    <col min="17" max="24" width="28.42578125" style="3" customWidth="1"/>
    <col min="25" max="16384" width="9.140625" style="3"/>
  </cols>
  <sheetData>
    <row r="1" spans="1:24" ht="24.75" customHeight="1" x14ac:dyDescent="0.25">
      <c r="A1" s="1"/>
      <c r="B1" s="1" t="s">
        <v>32</v>
      </c>
      <c r="C1" s="2"/>
      <c r="D1" s="35" t="s">
        <v>268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" x14ac:dyDescent="0.25">
      <c r="B2" s="14" t="s">
        <v>42</v>
      </c>
      <c r="Q2" s="14" t="s">
        <v>41</v>
      </c>
      <c r="U2" s="14" t="s">
        <v>51</v>
      </c>
    </row>
    <row r="3" spans="1:24" s="9" customFormat="1" ht="33" x14ac:dyDescent="0.25">
      <c r="A3" s="13" t="s">
        <v>50</v>
      </c>
      <c r="B3" s="13" t="s">
        <v>54</v>
      </c>
      <c r="C3" s="13" t="s">
        <v>33</v>
      </c>
      <c r="D3" s="13" t="s">
        <v>35</v>
      </c>
      <c r="E3" s="30" t="s">
        <v>38</v>
      </c>
      <c r="F3" s="31"/>
      <c r="G3" s="31"/>
      <c r="H3" s="31"/>
      <c r="I3" s="31"/>
      <c r="J3" s="31"/>
      <c r="K3" s="31"/>
      <c r="L3" s="31"/>
      <c r="M3" s="31"/>
      <c r="N3" s="32"/>
      <c r="O3" s="13" t="s">
        <v>37</v>
      </c>
      <c r="P3" s="13" t="s">
        <v>36</v>
      </c>
      <c r="Q3" s="13" t="s">
        <v>45</v>
      </c>
      <c r="R3" s="13" t="s">
        <v>44</v>
      </c>
      <c r="S3" s="13" t="s">
        <v>47</v>
      </c>
      <c r="T3" s="13" t="s">
        <v>49</v>
      </c>
      <c r="U3" s="13" t="s">
        <v>52</v>
      </c>
      <c r="V3" s="13" t="s">
        <v>53</v>
      </c>
      <c r="W3" s="13" t="s">
        <v>55</v>
      </c>
      <c r="X3" s="13" t="s">
        <v>272</v>
      </c>
    </row>
    <row r="4" spans="1:24" s="11" customFormat="1" ht="16.5" x14ac:dyDescent="0.25">
      <c r="A4" s="10"/>
      <c r="B4" s="10" t="s">
        <v>46</v>
      </c>
      <c r="C4" s="10" t="s">
        <v>34</v>
      </c>
      <c r="D4" s="10" t="s">
        <v>34</v>
      </c>
      <c r="E4" s="10" t="s">
        <v>39</v>
      </c>
      <c r="F4" s="10" t="s">
        <v>40</v>
      </c>
      <c r="G4" s="10">
        <v>3</v>
      </c>
      <c r="H4" s="10">
        <v>4</v>
      </c>
      <c r="I4" s="10">
        <v>5</v>
      </c>
      <c r="J4" s="10">
        <v>6</v>
      </c>
      <c r="K4" s="10">
        <v>7</v>
      </c>
      <c r="L4" s="10">
        <v>8</v>
      </c>
      <c r="M4" s="10">
        <v>9</v>
      </c>
      <c r="N4" s="10">
        <v>10</v>
      </c>
      <c r="O4" s="10"/>
      <c r="P4" s="10" t="s">
        <v>34</v>
      </c>
      <c r="Q4" s="10" t="s">
        <v>43</v>
      </c>
      <c r="R4" s="10" t="s">
        <v>46</v>
      </c>
      <c r="S4" s="10" t="s">
        <v>48</v>
      </c>
      <c r="T4" s="10" t="s">
        <v>43</v>
      </c>
      <c r="U4" s="10" t="s">
        <v>46</v>
      </c>
      <c r="V4" s="10" t="s">
        <v>46</v>
      </c>
      <c r="W4" s="10" t="s">
        <v>56</v>
      </c>
      <c r="X4" s="10" t="s">
        <v>273</v>
      </c>
    </row>
    <row r="5" spans="1:24" ht="33.75" customHeight="1" x14ac:dyDescent="0.25">
      <c r="A5" s="15">
        <v>4</v>
      </c>
      <c r="B5" s="15" t="s">
        <v>78</v>
      </c>
      <c r="C5" s="6" t="s">
        <v>82</v>
      </c>
      <c r="D5" s="6" t="s">
        <v>80</v>
      </c>
      <c r="E5" s="26" t="s">
        <v>83</v>
      </c>
      <c r="F5" s="26" t="s">
        <v>85</v>
      </c>
      <c r="G5" s="26" t="s">
        <v>84</v>
      </c>
      <c r="H5" s="26">
        <v>25</v>
      </c>
      <c r="I5" s="26" t="s">
        <v>83</v>
      </c>
      <c r="J5" s="26"/>
      <c r="K5" s="26"/>
      <c r="L5" s="26"/>
      <c r="M5" s="26"/>
      <c r="N5" s="26"/>
      <c r="O5" s="15">
        <v>5</v>
      </c>
      <c r="P5" s="6" t="s">
        <v>86</v>
      </c>
      <c r="Q5" s="15">
        <v>2</v>
      </c>
      <c r="R5" s="15" t="s">
        <v>77</v>
      </c>
      <c r="S5" s="15">
        <v>2.5</v>
      </c>
      <c r="T5" s="16">
        <v>2</v>
      </c>
      <c r="U5" s="15" t="s">
        <v>63</v>
      </c>
      <c r="V5" s="15" t="s">
        <v>75</v>
      </c>
      <c r="W5" s="16" t="s">
        <v>267</v>
      </c>
      <c r="X5" s="16"/>
    </row>
    <row r="6" spans="1:24" ht="33.75" customHeight="1" x14ac:dyDescent="0.25">
      <c r="A6" s="15">
        <v>6</v>
      </c>
      <c r="B6" s="15" t="s">
        <v>87</v>
      </c>
      <c r="C6" s="6" t="s">
        <v>241</v>
      </c>
      <c r="D6" s="6" t="s">
        <v>106</v>
      </c>
      <c r="E6" s="26">
        <v>35</v>
      </c>
      <c r="F6" s="26">
        <v>30</v>
      </c>
      <c r="G6" s="26"/>
      <c r="H6" s="26"/>
      <c r="I6" s="26"/>
      <c r="J6" s="26"/>
      <c r="K6" s="26"/>
      <c r="L6" s="26"/>
      <c r="M6" s="26"/>
      <c r="N6" s="26"/>
      <c r="O6" s="15">
        <v>1</v>
      </c>
      <c r="P6" s="6" t="s">
        <v>107</v>
      </c>
      <c r="Q6" s="15">
        <v>2</v>
      </c>
      <c r="R6" s="15" t="s">
        <v>76</v>
      </c>
      <c r="S6" s="15">
        <v>1.5</v>
      </c>
      <c r="T6" s="16">
        <v>3</v>
      </c>
      <c r="U6" s="15" t="s">
        <v>75</v>
      </c>
      <c r="V6" s="15" t="s">
        <v>63</v>
      </c>
      <c r="W6" s="16" t="s">
        <v>267</v>
      </c>
      <c r="X6" s="16" t="s">
        <v>265</v>
      </c>
    </row>
    <row r="7" spans="1:24" ht="33.75" customHeight="1" x14ac:dyDescent="0.25">
      <c r="A7" s="15">
        <v>9</v>
      </c>
      <c r="B7" s="15" t="s">
        <v>88</v>
      </c>
      <c r="C7" s="6" t="s">
        <v>110</v>
      </c>
      <c r="D7" s="6"/>
      <c r="E7" s="26">
        <v>3000</v>
      </c>
      <c r="F7" s="26">
        <v>3600</v>
      </c>
      <c r="G7" s="26"/>
      <c r="H7" s="26"/>
      <c r="I7" s="26"/>
      <c r="J7" s="26"/>
      <c r="K7" s="26"/>
      <c r="L7" s="26"/>
      <c r="M7" s="26"/>
      <c r="N7" s="26"/>
      <c r="O7" s="15">
        <v>2</v>
      </c>
      <c r="P7" s="6"/>
      <c r="Q7" s="15">
        <v>2</v>
      </c>
      <c r="R7" s="15" t="s">
        <v>76</v>
      </c>
      <c r="S7" s="15">
        <v>1.5</v>
      </c>
      <c r="T7" s="16">
        <v>8</v>
      </c>
      <c r="U7" s="15" t="s">
        <v>63</v>
      </c>
      <c r="V7" s="15" t="s">
        <v>75</v>
      </c>
      <c r="W7" s="16" t="s">
        <v>267</v>
      </c>
      <c r="X7" s="16" t="s">
        <v>265</v>
      </c>
    </row>
    <row r="8" spans="1:24" ht="33.75" customHeight="1" x14ac:dyDescent="0.25">
      <c r="A8" s="15">
        <v>11</v>
      </c>
      <c r="B8" s="15" t="s">
        <v>89</v>
      </c>
      <c r="C8" s="6" t="s">
        <v>111</v>
      </c>
      <c r="D8" s="6" t="s">
        <v>106</v>
      </c>
      <c r="E8" s="26">
        <v>125</v>
      </c>
      <c r="F8" s="26">
        <v>225</v>
      </c>
      <c r="G8" s="26"/>
      <c r="H8" s="26"/>
      <c r="I8" s="26"/>
      <c r="J8" s="26"/>
      <c r="K8" s="26"/>
      <c r="L8" s="26"/>
      <c r="M8" s="26"/>
      <c r="N8" s="26"/>
      <c r="O8" s="15">
        <v>1</v>
      </c>
      <c r="P8" s="6"/>
      <c r="Q8" s="15">
        <v>3</v>
      </c>
      <c r="R8" s="15" t="s">
        <v>77</v>
      </c>
      <c r="S8" s="15">
        <v>2.5</v>
      </c>
      <c r="T8" s="16">
        <v>2</v>
      </c>
      <c r="U8" s="15" t="s">
        <v>63</v>
      </c>
      <c r="V8" s="15" t="s">
        <v>75</v>
      </c>
      <c r="W8" s="16" t="s">
        <v>267</v>
      </c>
      <c r="X8" s="16"/>
    </row>
    <row r="9" spans="1:24" ht="33.75" customHeight="1" x14ac:dyDescent="0.25">
      <c r="A9" s="15">
        <v>13</v>
      </c>
      <c r="B9" s="15" t="s">
        <v>90</v>
      </c>
      <c r="C9" s="6" t="s">
        <v>114</v>
      </c>
      <c r="D9" s="6"/>
      <c r="E9" s="26">
        <v>3</v>
      </c>
      <c r="F9" s="26">
        <v>2</v>
      </c>
      <c r="G9" s="26">
        <v>4</v>
      </c>
      <c r="H9" s="26">
        <v>1</v>
      </c>
      <c r="I9" s="26">
        <v>2</v>
      </c>
      <c r="J9" s="26"/>
      <c r="K9" s="26"/>
      <c r="L9" s="26"/>
      <c r="M9" s="26"/>
      <c r="N9" s="26"/>
      <c r="O9" s="15">
        <v>1</v>
      </c>
      <c r="P9" s="6"/>
      <c r="Q9" s="15">
        <v>6</v>
      </c>
      <c r="R9" s="15" t="s">
        <v>76</v>
      </c>
      <c r="S9" s="15">
        <v>1.5</v>
      </c>
      <c r="T9" s="16">
        <v>5</v>
      </c>
      <c r="U9" s="15" t="s">
        <v>63</v>
      </c>
      <c r="V9" s="15" t="s">
        <v>63</v>
      </c>
      <c r="W9" s="16" t="s">
        <v>267</v>
      </c>
      <c r="X9" s="16"/>
    </row>
    <row r="10" spans="1:24" ht="33.75" customHeight="1" x14ac:dyDescent="0.25">
      <c r="A10" s="15">
        <v>16</v>
      </c>
      <c r="B10" s="15" t="s">
        <v>92</v>
      </c>
      <c r="C10" s="6" t="s">
        <v>120</v>
      </c>
      <c r="D10" s="6"/>
      <c r="E10" s="26" t="s">
        <v>127</v>
      </c>
      <c r="F10" s="26" t="s">
        <v>126</v>
      </c>
      <c r="G10" s="26" t="s">
        <v>123</v>
      </c>
      <c r="H10" s="26" t="s">
        <v>122</v>
      </c>
      <c r="I10" s="26"/>
      <c r="J10" s="26"/>
      <c r="K10" s="26"/>
      <c r="L10" s="26"/>
      <c r="M10" s="26"/>
      <c r="N10" s="26"/>
      <c r="O10" s="15">
        <v>3</v>
      </c>
      <c r="P10" s="6"/>
      <c r="Q10" s="15">
        <v>5</v>
      </c>
      <c r="R10" s="15" t="s">
        <v>77</v>
      </c>
      <c r="S10" s="15">
        <v>2.5</v>
      </c>
      <c r="T10" s="16">
        <v>6</v>
      </c>
      <c r="U10" s="15" t="s">
        <v>75</v>
      </c>
      <c r="V10" s="15" t="s">
        <v>63</v>
      </c>
      <c r="W10" s="16" t="s">
        <v>267</v>
      </c>
      <c r="X10" s="16"/>
    </row>
    <row r="11" spans="1:24" ht="33.75" customHeight="1" x14ac:dyDescent="0.25">
      <c r="A11" s="15">
        <v>18</v>
      </c>
      <c r="B11" s="15" t="s">
        <v>93</v>
      </c>
      <c r="C11" s="6" t="s">
        <v>132</v>
      </c>
      <c r="D11" s="6"/>
      <c r="E11" s="26" t="s">
        <v>133</v>
      </c>
      <c r="F11" s="26" t="s">
        <v>134</v>
      </c>
      <c r="G11" s="26" t="s">
        <v>136</v>
      </c>
      <c r="H11" s="26" t="s">
        <v>135</v>
      </c>
      <c r="I11" s="26"/>
      <c r="J11" s="26"/>
      <c r="K11" s="26"/>
      <c r="L11" s="26"/>
      <c r="M11" s="26"/>
      <c r="N11" s="26"/>
      <c r="O11" s="15">
        <v>3</v>
      </c>
      <c r="P11" s="6"/>
      <c r="Q11" s="15">
        <v>2</v>
      </c>
      <c r="R11" s="15" t="s">
        <v>62</v>
      </c>
      <c r="S11" s="15">
        <v>0.5</v>
      </c>
      <c r="T11" s="16">
        <v>7</v>
      </c>
      <c r="U11" s="15" t="s">
        <v>75</v>
      </c>
      <c r="V11" s="15" t="s">
        <v>75</v>
      </c>
      <c r="W11" s="16" t="s">
        <v>267</v>
      </c>
      <c r="X11" s="16"/>
    </row>
    <row r="12" spans="1:24" ht="33.75" customHeight="1" x14ac:dyDescent="0.25">
      <c r="A12" s="15">
        <v>19</v>
      </c>
      <c r="B12" s="15" t="s">
        <v>93</v>
      </c>
      <c r="C12" s="6" t="s">
        <v>137</v>
      </c>
      <c r="D12" s="6"/>
      <c r="E12" s="26" t="s">
        <v>138</v>
      </c>
      <c r="F12" s="26" t="s">
        <v>139</v>
      </c>
      <c r="G12" s="26"/>
      <c r="H12" s="26"/>
      <c r="I12" s="26"/>
      <c r="J12" s="26"/>
      <c r="K12" s="26"/>
      <c r="L12" s="26"/>
      <c r="M12" s="26"/>
      <c r="N12" s="26"/>
      <c r="O12" s="15">
        <v>1</v>
      </c>
      <c r="P12" s="6"/>
      <c r="Q12" s="15">
        <v>3</v>
      </c>
      <c r="R12" s="15" t="s">
        <v>77</v>
      </c>
      <c r="S12" s="15">
        <v>2.5</v>
      </c>
      <c r="T12" s="16">
        <v>8</v>
      </c>
      <c r="U12" s="15" t="s">
        <v>63</v>
      </c>
      <c r="V12" s="15" t="s">
        <v>75</v>
      </c>
      <c r="W12" s="16" t="s">
        <v>267</v>
      </c>
      <c r="X12" s="16"/>
    </row>
    <row r="13" spans="1:24" ht="33.75" customHeight="1" x14ac:dyDescent="0.25">
      <c r="A13" s="15">
        <v>22</v>
      </c>
      <c r="B13" s="15" t="s">
        <v>94</v>
      </c>
      <c r="C13" s="6" t="s">
        <v>146</v>
      </c>
      <c r="D13" s="6"/>
      <c r="E13" s="26" t="s">
        <v>148</v>
      </c>
      <c r="F13" s="26" t="s">
        <v>147</v>
      </c>
      <c r="G13" s="26" t="s">
        <v>149</v>
      </c>
      <c r="H13" s="26" t="s">
        <v>150</v>
      </c>
      <c r="I13" s="26"/>
      <c r="J13" s="26"/>
      <c r="K13" s="26"/>
      <c r="L13" s="26"/>
      <c r="M13" s="26"/>
      <c r="N13" s="26"/>
      <c r="O13" s="15">
        <v>2</v>
      </c>
      <c r="P13" s="6"/>
      <c r="Q13" s="15">
        <v>9</v>
      </c>
      <c r="R13" s="15" t="s">
        <v>77</v>
      </c>
      <c r="S13" s="15">
        <v>2.5</v>
      </c>
      <c r="T13" s="16">
        <v>5</v>
      </c>
      <c r="U13" s="15" t="s">
        <v>63</v>
      </c>
      <c r="V13" s="15" t="s">
        <v>75</v>
      </c>
      <c r="W13" s="16" t="s">
        <v>267</v>
      </c>
      <c r="X13" s="16"/>
    </row>
    <row r="14" spans="1:24" ht="33.75" customHeight="1" x14ac:dyDescent="0.25">
      <c r="A14" s="15">
        <v>24</v>
      </c>
      <c r="B14" s="15" t="s">
        <v>95</v>
      </c>
      <c r="C14" s="6" t="s">
        <v>184</v>
      </c>
      <c r="D14" s="6"/>
      <c r="E14" s="26" t="s">
        <v>181</v>
      </c>
      <c r="F14" s="26" t="s">
        <v>185</v>
      </c>
      <c r="G14" s="26" t="s">
        <v>183</v>
      </c>
      <c r="H14" s="26" t="s">
        <v>186</v>
      </c>
      <c r="I14" s="26"/>
      <c r="J14" s="26"/>
      <c r="K14" s="26"/>
      <c r="L14" s="26"/>
      <c r="M14" s="26"/>
      <c r="N14" s="26"/>
      <c r="O14" s="15">
        <v>2</v>
      </c>
      <c r="P14" s="6"/>
      <c r="Q14" s="15">
        <v>6</v>
      </c>
      <c r="R14" s="15" t="s">
        <v>76</v>
      </c>
      <c r="S14" s="15">
        <v>1.5</v>
      </c>
      <c r="T14" s="16">
        <v>9</v>
      </c>
      <c r="U14" s="15" t="s">
        <v>75</v>
      </c>
      <c r="V14" s="15" t="s">
        <v>75</v>
      </c>
      <c r="W14" s="16" t="s">
        <v>267</v>
      </c>
      <c r="X14" s="16"/>
    </row>
    <row r="15" spans="1:24" ht="33.75" customHeight="1" x14ac:dyDescent="0.25">
      <c r="A15" s="15">
        <v>28</v>
      </c>
      <c r="B15" s="15" t="s">
        <v>96</v>
      </c>
      <c r="C15" s="6" t="s">
        <v>168</v>
      </c>
      <c r="D15" s="6"/>
      <c r="E15" s="26" t="s">
        <v>169</v>
      </c>
      <c r="F15" s="26" t="s">
        <v>170</v>
      </c>
      <c r="G15" s="26" t="s">
        <v>171</v>
      </c>
      <c r="H15" s="26"/>
      <c r="I15" s="26"/>
      <c r="J15" s="26"/>
      <c r="K15" s="26"/>
      <c r="L15" s="26"/>
      <c r="M15" s="26"/>
      <c r="N15" s="26"/>
      <c r="O15" s="15">
        <v>1</v>
      </c>
      <c r="P15" s="6"/>
      <c r="Q15" s="15">
        <v>3</v>
      </c>
      <c r="R15" s="15" t="s">
        <v>77</v>
      </c>
      <c r="S15" s="15">
        <v>2.5</v>
      </c>
      <c r="T15" s="16">
        <v>4</v>
      </c>
      <c r="U15" s="15" t="s">
        <v>75</v>
      </c>
      <c r="V15" s="15" t="s">
        <v>75</v>
      </c>
      <c r="W15" s="16" t="s">
        <v>267</v>
      </c>
      <c r="X15" s="16"/>
    </row>
    <row r="16" spans="1:24" ht="33.75" customHeight="1" x14ac:dyDescent="0.25">
      <c r="A16" s="15">
        <v>30</v>
      </c>
      <c r="B16" s="15" t="s">
        <v>97</v>
      </c>
      <c r="C16" s="6" t="s">
        <v>161</v>
      </c>
      <c r="D16" s="6"/>
      <c r="E16" s="26" t="s">
        <v>162</v>
      </c>
      <c r="F16" s="26" t="s">
        <v>163</v>
      </c>
      <c r="G16" s="26" t="s">
        <v>164</v>
      </c>
      <c r="H16" s="26"/>
      <c r="I16" s="26"/>
      <c r="J16" s="26"/>
      <c r="K16" s="26"/>
      <c r="L16" s="26"/>
      <c r="M16" s="26"/>
      <c r="N16" s="26"/>
      <c r="O16" s="15">
        <v>1</v>
      </c>
      <c r="P16" s="6"/>
      <c r="Q16" s="15">
        <v>8</v>
      </c>
      <c r="R16" s="15" t="s">
        <v>77</v>
      </c>
      <c r="S16" s="15">
        <v>2.5</v>
      </c>
      <c r="T16" s="16">
        <v>6</v>
      </c>
      <c r="U16" s="15" t="s">
        <v>75</v>
      </c>
      <c r="V16" s="15" t="s">
        <v>63</v>
      </c>
      <c r="W16" s="16" t="s">
        <v>267</v>
      </c>
      <c r="X16" s="16"/>
    </row>
    <row r="17" spans="1:24" ht="33.75" customHeight="1" x14ac:dyDescent="0.25">
      <c r="A17" s="15">
        <v>34</v>
      </c>
      <c r="B17" s="15" t="s">
        <v>98</v>
      </c>
      <c r="C17" s="6" t="s">
        <v>188</v>
      </c>
      <c r="D17" s="6"/>
      <c r="E17" s="26" t="s">
        <v>167</v>
      </c>
      <c r="F17" s="26" t="s">
        <v>166</v>
      </c>
      <c r="G17" s="26" t="s">
        <v>189</v>
      </c>
      <c r="H17" s="26" t="s">
        <v>190</v>
      </c>
      <c r="I17" s="26"/>
      <c r="J17" s="26"/>
      <c r="K17" s="26"/>
      <c r="L17" s="26"/>
      <c r="M17" s="26"/>
      <c r="N17" s="26"/>
      <c r="O17" s="15">
        <v>4</v>
      </c>
      <c r="P17" s="6"/>
      <c r="Q17" s="15">
        <v>4</v>
      </c>
      <c r="R17" s="15" t="s">
        <v>62</v>
      </c>
      <c r="S17" s="15">
        <v>0.5</v>
      </c>
      <c r="T17" s="16">
        <v>8</v>
      </c>
      <c r="U17" s="15" t="s">
        <v>75</v>
      </c>
      <c r="V17" s="15" t="s">
        <v>75</v>
      </c>
      <c r="W17" s="16" t="s">
        <v>267</v>
      </c>
      <c r="X17" s="16"/>
    </row>
    <row r="18" spans="1:24" ht="33.75" customHeight="1" x14ac:dyDescent="0.25">
      <c r="A18" s="15">
        <v>35</v>
      </c>
      <c r="B18" s="15" t="s">
        <v>99</v>
      </c>
      <c r="C18" s="6" t="s">
        <v>191</v>
      </c>
      <c r="D18" s="6"/>
      <c r="E18" s="26" t="s">
        <v>192</v>
      </c>
      <c r="F18" s="26" t="s">
        <v>193</v>
      </c>
      <c r="G18" s="26" t="s">
        <v>194</v>
      </c>
      <c r="H18" s="26"/>
      <c r="I18" s="26"/>
      <c r="J18" s="26"/>
      <c r="K18" s="26"/>
      <c r="L18" s="26"/>
      <c r="M18" s="26"/>
      <c r="N18" s="26"/>
      <c r="O18" s="15">
        <v>2</v>
      </c>
      <c r="P18" s="6"/>
      <c r="Q18" s="15">
        <v>4</v>
      </c>
      <c r="R18" s="15" t="s">
        <v>62</v>
      </c>
      <c r="S18" s="15">
        <v>0.5</v>
      </c>
      <c r="T18" s="16">
        <v>2</v>
      </c>
      <c r="U18" s="15" t="s">
        <v>63</v>
      </c>
      <c r="V18" s="15" t="s">
        <v>63</v>
      </c>
      <c r="W18" s="16" t="s">
        <v>267</v>
      </c>
      <c r="X18" s="16"/>
    </row>
    <row r="19" spans="1:24" ht="33.75" customHeight="1" x14ac:dyDescent="0.25">
      <c r="A19" s="15">
        <v>37</v>
      </c>
      <c r="B19" s="15" t="s">
        <v>100</v>
      </c>
      <c r="C19" s="6" t="s">
        <v>200</v>
      </c>
      <c r="D19" s="6"/>
      <c r="E19" s="26" t="s">
        <v>201</v>
      </c>
      <c r="F19" s="26" t="s">
        <v>197</v>
      </c>
      <c r="G19" s="26" t="s">
        <v>202</v>
      </c>
      <c r="H19" s="26"/>
      <c r="I19" s="26"/>
      <c r="J19" s="26"/>
      <c r="K19" s="26"/>
      <c r="L19" s="26"/>
      <c r="M19" s="26"/>
      <c r="N19" s="26"/>
      <c r="O19" s="15">
        <v>3</v>
      </c>
      <c r="P19" s="6"/>
      <c r="Q19" s="15">
        <v>6</v>
      </c>
      <c r="R19" s="15" t="s">
        <v>76</v>
      </c>
      <c r="S19" s="15">
        <v>1.5</v>
      </c>
      <c r="T19" s="16">
        <v>9</v>
      </c>
      <c r="U19" s="15" t="s">
        <v>63</v>
      </c>
      <c r="V19" s="15" t="s">
        <v>63</v>
      </c>
      <c r="W19" s="16" t="s">
        <v>267</v>
      </c>
      <c r="X19" s="16"/>
    </row>
    <row r="20" spans="1:24" ht="33.75" customHeight="1" x14ac:dyDescent="0.25">
      <c r="A20" s="15">
        <v>38</v>
      </c>
      <c r="B20" s="15" t="s">
        <v>101</v>
      </c>
      <c r="C20" s="6" t="s">
        <v>203</v>
      </c>
      <c r="D20" s="6"/>
      <c r="E20" s="26" t="s">
        <v>204</v>
      </c>
      <c r="F20" s="26" t="s">
        <v>205</v>
      </c>
      <c r="G20" s="26" t="s">
        <v>206</v>
      </c>
      <c r="H20" s="26" t="s">
        <v>207</v>
      </c>
      <c r="I20" s="26"/>
      <c r="J20" s="26"/>
      <c r="K20" s="26"/>
      <c r="L20" s="26"/>
      <c r="M20" s="26"/>
      <c r="N20" s="26"/>
      <c r="O20" s="15">
        <v>1</v>
      </c>
      <c r="P20" s="6"/>
      <c r="Q20" s="15">
        <v>5</v>
      </c>
      <c r="R20" s="15" t="s">
        <v>62</v>
      </c>
      <c r="S20" s="15">
        <v>0.5</v>
      </c>
      <c r="T20" s="16">
        <v>5</v>
      </c>
      <c r="U20" s="15" t="s">
        <v>75</v>
      </c>
      <c r="V20" s="15" t="s">
        <v>75</v>
      </c>
      <c r="W20" s="16" t="s">
        <v>267</v>
      </c>
      <c r="X20" s="16"/>
    </row>
    <row r="21" spans="1:24" ht="33.75" customHeight="1" x14ac:dyDescent="0.25">
      <c r="A21" s="15">
        <v>40</v>
      </c>
      <c r="B21" s="15" t="s">
        <v>102</v>
      </c>
      <c r="C21" s="6" t="s">
        <v>212</v>
      </c>
      <c r="D21" s="6"/>
      <c r="E21" s="26">
        <v>1924</v>
      </c>
      <c r="F21" s="26">
        <v>1922</v>
      </c>
      <c r="G21" s="26">
        <v>1926</v>
      </c>
      <c r="H21" s="26">
        <v>1930</v>
      </c>
      <c r="I21" s="26"/>
      <c r="J21" s="26"/>
      <c r="K21" s="26"/>
      <c r="L21" s="26"/>
      <c r="M21" s="26"/>
      <c r="N21" s="26"/>
      <c r="O21" s="15">
        <v>1</v>
      </c>
      <c r="P21" s="6"/>
      <c r="Q21" s="15">
        <v>7</v>
      </c>
      <c r="R21" s="15" t="s">
        <v>77</v>
      </c>
      <c r="S21" s="15">
        <v>2.5</v>
      </c>
      <c r="T21" s="16">
        <v>1</v>
      </c>
      <c r="U21" s="15" t="s">
        <v>75</v>
      </c>
      <c r="V21" s="15" t="s">
        <v>75</v>
      </c>
      <c r="W21" s="16" t="s">
        <v>267</v>
      </c>
      <c r="X21" s="16"/>
    </row>
  </sheetData>
  <autoFilter ref="W1:W21" xr:uid="{074AD0D5-B1A8-415B-80B3-A2858290E921}"/>
  <mergeCells count="1">
    <mergeCell ref="E3:N3"/>
  </mergeCells>
  <dataValidations count="3">
    <dataValidation type="list" allowBlank="1" showInputMessage="1" showErrorMessage="1" sqref="B5:B21" xr:uid="{4EA0E0D1-988A-4BBF-B77D-5219FDAE47D2}">
      <formula1>TopicList</formula1>
    </dataValidation>
    <dataValidation type="list" allowBlank="1" showInputMessage="1" showErrorMessage="1" sqref="U5:V21" xr:uid="{E399FE31-D338-44DB-8C99-B5C40DC46CAC}">
      <formula1>"Yes,No"</formula1>
    </dataValidation>
    <dataValidation type="list" allowBlank="1" showInputMessage="1" showErrorMessage="1" sqref="R5:R21" xr:uid="{09E79BEE-234A-4F8A-98B8-B831F657771D}">
      <formula1>"Easy,Medium,Hard"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767E-5F06-40E8-BDA2-1E44DBF0D1D4}">
  <sheetPr filterMode="1"/>
  <dimension ref="A1:W54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4.25" x14ac:dyDescent="0.25"/>
  <cols>
    <col min="1" max="1" width="6.140625" style="3" customWidth="1"/>
    <col min="2" max="2" width="18.5703125" style="3" customWidth="1"/>
    <col min="3" max="3" width="59" style="3" customWidth="1"/>
    <col min="4" max="4" width="28.42578125" style="3" customWidth="1"/>
    <col min="5" max="9" width="13" style="3" customWidth="1"/>
    <col min="10" max="14" width="13" style="3" hidden="1" customWidth="1"/>
    <col min="15" max="15" width="10.5703125" style="3" customWidth="1"/>
    <col min="16" max="16" width="36" style="3" customWidth="1"/>
    <col min="17" max="23" width="28.42578125" style="3" customWidth="1"/>
    <col min="24" max="16384" width="9.140625" style="3"/>
  </cols>
  <sheetData>
    <row r="1" spans="1:23" ht="24.75" customHeight="1" x14ac:dyDescent="0.25">
      <c r="A1" s="1"/>
      <c r="B1" s="36" t="s">
        <v>269</v>
      </c>
      <c r="C1" s="2"/>
      <c r="D1" s="35" t="s">
        <v>268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" hidden="1" x14ac:dyDescent="0.25">
      <c r="B2" s="14" t="s">
        <v>42</v>
      </c>
      <c r="Q2" s="14" t="s">
        <v>41</v>
      </c>
      <c r="U2" s="14" t="s">
        <v>51</v>
      </c>
    </row>
    <row r="3" spans="1:23" s="9" customFormat="1" ht="33" hidden="1" x14ac:dyDescent="0.25">
      <c r="A3" s="13" t="s">
        <v>50</v>
      </c>
      <c r="B3" s="13" t="s">
        <v>54</v>
      </c>
      <c r="C3" s="13" t="s">
        <v>33</v>
      </c>
      <c r="D3" s="13" t="s">
        <v>35</v>
      </c>
      <c r="E3" s="30" t="s">
        <v>38</v>
      </c>
      <c r="F3" s="31"/>
      <c r="G3" s="31"/>
      <c r="H3" s="31"/>
      <c r="I3" s="31"/>
      <c r="J3" s="31"/>
      <c r="K3" s="31"/>
      <c r="L3" s="31"/>
      <c r="M3" s="31"/>
      <c r="N3" s="32"/>
      <c r="O3" s="13" t="s">
        <v>37</v>
      </c>
      <c r="P3" s="13" t="s">
        <v>36</v>
      </c>
      <c r="Q3" s="13" t="s">
        <v>45</v>
      </c>
      <c r="R3" s="13" t="s">
        <v>44</v>
      </c>
      <c r="S3" s="13" t="s">
        <v>47</v>
      </c>
      <c r="T3" s="13" t="s">
        <v>49</v>
      </c>
      <c r="U3" s="13" t="s">
        <v>52</v>
      </c>
      <c r="V3" s="13" t="s">
        <v>53</v>
      </c>
      <c r="W3" s="13" t="s">
        <v>55</v>
      </c>
    </row>
    <row r="4" spans="1:23" s="11" customFormat="1" ht="16.5" hidden="1" x14ac:dyDescent="0.25">
      <c r="A4" s="10"/>
      <c r="B4" s="10" t="s">
        <v>46</v>
      </c>
      <c r="C4" s="10" t="s">
        <v>34</v>
      </c>
      <c r="D4" s="10" t="s">
        <v>34</v>
      </c>
      <c r="E4" s="10" t="s">
        <v>39</v>
      </c>
      <c r="F4" s="10" t="s">
        <v>40</v>
      </c>
      <c r="G4" s="10">
        <v>3</v>
      </c>
      <c r="H4" s="10">
        <v>4</v>
      </c>
      <c r="I4" s="10">
        <v>5</v>
      </c>
      <c r="J4" s="10">
        <v>6</v>
      </c>
      <c r="K4" s="10">
        <v>7</v>
      </c>
      <c r="L4" s="10">
        <v>8</v>
      </c>
      <c r="M4" s="10">
        <v>9</v>
      </c>
      <c r="N4" s="10">
        <v>10</v>
      </c>
      <c r="O4" s="10"/>
      <c r="P4" s="10" t="s">
        <v>34</v>
      </c>
      <c r="Q4" s="10" t="s">
        <v>43</v>
      </c>
      <c r="R4" s="10" t="s">
        <v>46</v>
      </c>
      <c r="S4" s="10" t="s">
        <v>48</v>
      </c>
      <c r="T4" s="10" t="s">
        <v>43</v>
      </c>
      <c r="U4" s="10" t="s">
        <v>46</v>
      </c>
      <c r="V4" s="10" t="s">
        <v>46</v>
      </c>
      <c r="W4" s="10" t="s">
        <v>56</v>
      </c>
    </row>
    <row r="5" spans="1:23" ht="33.75" customHeight="1" x14ac:dyDescent="0.25">
      <c r="A5" s="15">
        <f>+IF(C5&lt;&gt;"",1,"-")</f>
        <v>1</v>
      </c>
      <c r="B5" s="15" t="s">
        <v>60</v>
      </c>
      <c r="C5" s="6" t="s">
        <v>65</v>
      </c>
      <c r="D5" s="6"/>
      <c r="E5" s="26">
        <v>1</v>
      </c>
      <c r="F5" s="26">
        <v>2</v>
      </c>
      <c r="G5" s="26"/>
      <c r="H5" s="26"/>
      <c r="I5" s="26"/>
      <c r="J5" s="26"/>
      <c r="K5" s="26"/>
      <c r="L5" s="26"/>
      <c r="M5" s="26"/>
      <c r="N5" s="26"/>
      <c r="O5" s="15">
        <v>2</v>
      </c>
      <c r="P5" s="6" t="s">
        <v>61</v>
      </c>
      <c r="Q5" s="15">
        <v>1</v>
      </c>
      <c r="R5" s="15" t="s">
        <v>62</v>
      </c>
      <c r="S5" s="15">
        <f>+VLOOKUP(R5,'QB Masters'!F:H,3,0)</f>
        <v>0.5</v>
      </c>
      <c r="T5" s="16">
        <v>1</v>
      </c>
      <c r="U5" s="15" t="s">
        <v>63</v>
      </c>
      <c r="V5" s="15" t="s">
        <v>63</v>
      </c>
      <c r="W5" s="16" t="s">
        <v>265</v>
      </c>
    </row>
    <row r="6" spans="1:23" ht="33.75" hidden="1" customHeight="1" x14ac:dyDescent="0.25">
      <c r="A6" s="15">
        <f t="shared" ref="A6:A37" si="0">+IF(C6&lt;&gt;"",A5+1,"-")</f>
        <v>2</v>
      </c>
      <c r="B6" s="15" t="s">
        <v>60</v>
      </c>
      <c r="C6" s="6" t="s">
        <v>72</v>
      </c>
      <c r="D6" s="6"/>
      <c r="E6" s="26">
        <v>0</v>
      </c>
      <c r="F6" s="26">
        <v>1</v>
      </c>
      <c r="G6" s="26">
        <v>2</v>
      </c>
      <c r="H6" s="26">
        <v>3</v>
      </c>
      <c r="I6" s="26"/>
      <c r="J6" s="26"/>
      <c r="K6" s="26"/>
      <c r="L6" s="26"/>
      <c r="M6" s="26"/>
      <c r="N6" s="26"/>
      <c r="O6" s="15">
        <v>2</v>
      </c>
      <c r="P6" s="6" t="s">
        <v>73</v>
      </c>
      <c r="Q6" s="15">
        <v>2</v>
      </c>
      <c r="R6" s="15" t="s">
        <v>76</v>
      </c>
      <c r="S6" s="15">
        <f>+VLOOKUP(R6,'QB Masters'!F:H,3,0)</f>
        <v>1.5</v>
      </c>
      <c r="T6" s="16" t="s">
        <v>74</v>
      </c>
      <c r="U6" s="15" t="s">
        <v>75</v>
      </c>
      <c r="V6" s="15" t="s">
        <v>63</v>
      </c>
      <c r="W6" s="16" t="s">
        <v>266</v>
      </c>
    </row>
    <row r="7" spans="1:23" ht="33.75" customHeight="1" x14ac:dyDescent="0.25">
      <c r="A7" s="15">
        <f t="shared" si="0"/>
        <v>3</v>
      </c>
      <c r="B7" s="15" t="s">
        <v>78</v>
      </c>
      <c r="C7" s="6" t="s">
        <v>79</v>
      </c>
      <c r="D7" s="6" t="s">
        <v>80</v>
      </c>
      <c r="E7" s="26">
        <v>10</v>
      </c>
      <c r="F7" s="26">
        <v>20</v>
      </c>
      <c r="G7" s="26">
        <v>5</v>
      </c>
      <c r="H7" s="26">
        <v>6</v>
      </c>
      <c r="I7" s="26"/>
      <c r="J7" s="26"/>
      <c r="K7" s="26"/>
      <c r="L7" s="26"/>
      <c r="M7" s="26"/>
      <c r="N7" s="26"/>
      <c r="O7" s="15">
        <v>1</v>
      </c>
      <c r="P7" s="6" t="s">
        <v>81</v>
      </c>
      <c r="Q7" s="15">
        <v>3</v>
      </c>
      <c r="R7" s="15" t="s">
        <v>76</v>
      </c>
      <c r="S7" s="15">
        <f>+VLOOKUP(R7,'QB Masters'!F:H,3,0)</f>
        <v>1.5</v>
      </c>
      <c r="T7" s="16">
        <v>2</v>
      </c>
      <c r="U7" s="15" t="s">
        <v>63</v>
      </c>
      <c r="V7" s="15" t="s">
        <v>75</v>
      </c>
      <c r="W7" s="16" t="s">
        <v>265</v>
      </c>
    </row>
    <row r="8" spans="1:23" ht="33.75" hidden="1" customHeight="1" x14ac:dyDescent="0.25">
      <c r="A8" s="15">
        <f t="shared" si="0"/>
        <v>4</v>
      </c>
      <c r="B8" s="15" t="s">
        <v>78</v>
      </c>
      <c r="C8" s="6" t="s">
        <v>82</v>
      </c>
      <c r="D8" s="6" t="s">
        <v>80</v>
      </c>
      <c r="E8" s="26" t="s">
        <v>83</v>
      </c>
      <c r="F8" s="26" t="s">
        <v>85</v>
      </c>
      <c r="G8" s="26" t="s">
        <v>84</v>
      </c>
      <c r="H8" s="26">
        <v>25</v>
      </c>
      <c r="I8" s="26" t="s">
        <v>83</v>
      </c>
      <c r="J8" s="26"/>
      <c r="K8" s="26"/>
      <c r="L8" s="26"/>
      <c r="M8" s="26"/>
      <c r="N8" s="26"/>
      <c r="O8" s="15">
        <v>5</v>
      </c>
      <c r="P8" s="6" t="s">
        <v>86</v>
      </c>
      <c r="Q8" s="15">
        <v>2</v>
      </c>
      <c r="R8" s="15" t="s">
        <v>77</v>
      </c>
      <c r="S8" s="15">
        <f>+VLOOKUP(R8,'QB Masters'!F:H,3,0)</f>
        <v>2.5</v>
      </c>
      <c r="T8" s="16">
        <v>2</v>
      </c>
      <c r="U8" s="15" t="s">
        <v>63</v>
      </c>
      <c r="V8" s="15" t="s">
        <v>75</v>
      </c>
      <c r="W8" s="16" t="s">
        <v>267</v>
      </c>
    </row>
    <row r="9" spans="1:23" ht="33.75" customHeight="1" x14ac:dyDescent="0.25">
      <c r="A9" s="15">
        <f t="shared" si="0"/>
        <v>5</v>
      </c>
      <c r="B9" s="15" t="s">
        <v>87</v>
      </c>
      <c r="C9" s="6" t="s">
        <v>242</v>
      </c>
      <c r="D9" s="6" t="s">
        <v>105</v>
      </c>
      <c r="E9" s="26">
        <v>356</v>
      </c>
      <c r="F9" s="26">
        <v>466</v>
      </c>
      <c r="G9" s="26">
        <v>456</v>
      </c>
      <c r="H9" s="26"/>
      <c r="I9" s="26"/>
      <c r="J9" s="26"/>
      <c r="K9" s="26"/>
      <c r="L9" s="26"/>
      <c r="M9" s="26"/>
      <c r="N9" s="26"/>
      <c r="O9" s="15">
        <v>3</v>
      </c>
      <c r="P9" s="6"/>
      <c r="Q9" s="15">
        <v>3</v>
      </c>
      <c r="R9" s="15" t="s">
        <v>62</v>
      </c>
      <c r="S9" s="15">
        <f>+VLOOKUP(R9,'QB Masters'!F:H,3,0)</f>
        <v>0.5</v>
      </c>
      <c r="T9" s="16">
        <v>1</v>
      </c>
      <c r="U9" s="15" t="s">
        <v>63</v>
      </c>
      <c r="V9" s="15" t="s">
        <v>75</v>
      </c>
      <c r="W9" s="16" t="s">
        <v>265</v>
      </c>
    </row>
    <row r="10" spans="1:23" ht="33.75" hidden="1" customHeight="1" x14ac:dyDescent="0.25">
      <c r="A10" s="15">
        <f t="shared" si="0"/>
        <v>6</v>
      </c>
      <c r="B10" s="15" t="s">
        <v>87</v>
      </c>
      <c r="C10" s="6" t="s">
        <v>241</v>
      </c>
      <c r="D10" s="6" t="s">
        <v>106</v>
      </c>
      <c r="E10" s="26">
        <v>35</v>
      </c>
      <c r="F10" s="26">
        <v>30</v>
      </c>
      <c r="G10" s="26"/>
      <c r="H10" s="26"/>
      <c r="I10" s="26"/>
      <c r="J10" s="26"/>
      <c r="K10" s="26"/>
      <c r="L10" s="26"/>
      <c r="M10" s="26"/>
      <c r="N10" s="26"/>
      <c r="O10" s="15">
        <v>1</v>
      </c>
      <c r="P10" s="6" t="s">
        <v>107</v>
      </c>
      <c r="Q10" s="15">
        <v>2</v>
      </c>
      <c r="R10" s="15" t="s">
        <v>76</v>
      </c>
      <c r="S10" s="15">
        <f>+VLOOKUP(R10,'QB Masters'!F:H,3,0)</f>
        <v>1.5</v>
      </c>
      <c r="T10" s="16">
        <v>3</v>
      </c>
      <c r="U10" s="15" t="s">
        <v>75</v>
      </c>
      <c r="V10" s="15" t="s">
        <v>63</v>
      </c>
      <c r="W10" s="16" t="s">
        <v>267</v>
      </c>
    </row>
    <row r="11" spans="1:23" ht="33.75" hidden="1" customHeight="1" x14ac:dyDescent="0.25">
      <c r="A11" s="15">
        <f t="shared" si="0"/>
        <v>7</v>
      </c>
      <c r="B11" s="15" t="s">
        <v>87</v>
      </c>
      <c r="C11" s="6" t="s">
        <v>243</v>
      </c>
      <c r="D11" s="6"/>
      <c r="E11" s="26">
        <v>13</v>
      </c>
      <c r="F11" s="26">
        <v>25</v>
      </c>
      <c r="G11" s="26">
        <v>28</v>
      </c>
      <c r="H11" s="26">
        <v>-28</v>
      </c>
      <c r="I11" s="26"/>
      <c r="J11" s="26"/>
      <c r="K11" s="26"/>
      <c r="L11" s="26"/>
      <c r="M11" s="26"/>
      <c r="N11" s="26"/>
      <c r="O11" s="15">
        <v>3</v>
      </c>
      <c r="P11" s="6"/>
      <c r="Q11" s="15">
        <v>3</v>
      </c>
      <c r="R11" s="15" t="s">
        <v>77</v>
      </c>
      <c r="S11" s="15">
        <f>+VLOOKUP(R11,'QB Masters'!F:H,3,0)</f>
        <v>2.5</v>
      </c>
      <c r="T11" s="16">
        <v>5</v>
      </c>
      <c r="U11" s="15" t="s">
        <v>75</v>
      </c>
      <c r="V11" s="15" t="s">
        <v>63</v>
      </c>
      <c r="W11" s="16" t="s">
        <v>266</v>
      </c>
    </row>
    <row r="12" spans="1:23" ht="33.75" customHeight="1" x14ac:dyDescent="0.25">
      <c r="A12" s="15">
        <f t="shared" si="0"/>
        <v>8</v>
      </c>
      <c r="B12" s="15" t="s">
        <v>88</v>
      </c>
      <c r="C12" s="6" t="s">
        <v>108</v>
      </c>
      <c r="D12" s="6"/>
      <c r="E12" s="26">
        <v>75</v>
      </c>
      <c r="F12" s="26">
        <v>65</v>
      </c>
      <c r="G12" s="26">
        <v>115</v>
      </c>
      <c r="H12" s="26"/>
      <c r="I12" s="26"/>
      <c r="J12" s="26"/>
      <c r="K12" s="26"/>
      <c r="L12" s="26"/>
      <c r="M12" s="26"/>
      <c r="N12" s="26"/>
      <c r="O12" s="15">
        <v>1</v>
      </c>
      <c r="P12" s="6" t="s">
        <v>109</v>
      </c>
      <c r="Q12" s="15">
        <v>4</v>
      </c>
      <c r="R12" s="15" t="s">
        <v>76</v>
      </c>
      <c r="S12" s="15">
        <f>+VLOOKUP(R12,'QB Masters'!F:H,3,0)</f>
        <v>1.5</v>
      </c>
      <c r="T12" s="16">
        <v>6</v>
      </c>
      <c r="U12" s="15" t="s">
        <v>75</v>
      </c>
      <c r="V12" s="15" t="s">
        <v>63</v>
      </c>
      <c r="W12" s="16" t="s">
        <v>265</v>
      </c>
    </row>
    <row r="13" spans="1:23" ht="33.75" hidden="1" customHeight="1" x14ac:dyDescent="0.25">
      <c r="A13" s="15">
        <f t="shared" si="0"/>
        <v>9</v>
      </c>
      <c r="B13" s="15" t="s">
        <v>88</v>
      </c>
      <c r="C13" s="6" t="s">
        <v>110</v>
      </c>
      <c r="D13" s="6"/>
      <c r="E13" s="26">
        <v>3000</v>
      </c>
      <c r="F13" s="26">
        <v>3600</v>
      </c>
      <c r="G13" s="26"/>
      <c r="H13" s="26"/>
      <c r="I13" s="26"/>
      <c r="J13" s="26"/>
      <c r="K13" s="26"/>
      <c r="L13" s="26"/>
      <c r="M13" s="26"/>
      <c r="N13" s="26"/>
      <c r="O13" s="15">
        <v>2</v>
      </c>
      <c r="P13" s="6"/>
      <c r="Q13" s="15">
        <v>2</v>
      </c>
      <c r="R13" s="15" t="s">
        <v>76</v>
      </c>
      <c r="S13" s="15">
        <f>+VLOOKUP(R13,'QB Masters'!F:H,3,0)</f>
        <v>1.5</v>
      </c>
      <c r="T13" s="16">
        <v>8</v>
      </c>
      <c r="U13" s="15" t="s">
        <v>63</v>
      </c>
      <c r="V13" s="15" t="s">
        <v>75</v>
      </c>
      <c r="W13" s="16" t="s">
        <v>267</v>
      </c>
    </row>
    <row r="14" spans="1:23" ht="33.75" customHeight="1" x14ac:dyDescent="0.25">
      <c r="A14" s="15">
        <f t="shared" si="0"/>
        <v>10</v>
      </c>
      <c r="B14" s="15" t="s">
        <v>89</v>
      </c>
      <c r="C14" s="6" t="s">
        <v>244</v>
      </c>
      <c r="D14" s="6"/>
      <c r="E14" s="26">
        <v>20</v>
      </c>
      <c r="F14" s="26">
        <v>10</v>
      </c>
      <c r="G14" s="26">
        <v>25</v>
      </c>
      <c r="H14" s="26">
        <v>30</v>
      </c>
      <c r="I14" s="26"/>
      <c r="J14" s="26"/>
      <c r="K14" s="26"/>
      <c r="L14" s="26"/>
      <c r="M14" s="26"/>
      <c r="N14" s="26"/>
      <c r="O14" s="15">
        <v>3</v>
      </c>
      <c r="P14" s="6"/>
      <c r="Q14" s="15">
        <v>2</v>
      </c>
      <c r="R14" s="15" t="s">
        <v>76</v>
      </c>
      <c r="S14" s="15">
        <f>+VLOOKUP(R14,'QB Masters'!F:H,3,0)</f>
        <v>1.5</v>
      </c>
      <c r="T14" s="16">
        <v>7</v>
      </c>
      <c r="U14" s="15" t="s">
        <v>75</v>
      </c>
      <c r="V14" s="15" t="s">
        <v>75</v>
      </c>
      <c r="W14" s="16" t="s">
        <v>265</v>
      </c>
    </row>
    <row r="15" spans="1:23" ht="33.75" hidden="1" customHeight="1" x14ac:dyDescent="0.25">
      <c r="A15" s="15">
        <f t="shared" si="0"/>
        <v>11</v>
      </c>
      <c r="B15" s="15" t="s">
        <v>89</v>
      </c>
      <c r="C15" s="6" t="s">
        <v>111</v>
      </c>
      <c r="D15" s="6" t="s">
        <v>106</v>
      </c>
      <c r="E15" s="26">
        <v>125</v>
      </c>
      <c r="F15" s="26">
        <v>225</v>
      </c>
      <c r="G15" s="26"/>
      <c r="H15" s="26"/>
      <c r="I15" s="26"/>
      <c r="J15" s="26"/>
      <c r="K15" s="26"/>
      <c r="L15" s="26"/>
      <c r="M15" s="26"/>
      <c r="N15" s="26"/>
      <c r="O15" s="15">
        <v>1</v>
      </c>
      <c r="P15" s="6"/>
      <c r="Q15" s="15">
        <v>3</v>
      </c>
      <c r="R15" s="15" t="s">
        <v>77</v>
      </c>
      <c r="S15" s="15">
        <f>+VLOOKUP(R15,'QB Masters'!F:H,3,0)</f>
        <v>2.5</v>
      </c>
      <c r="T15" s="16">
        <v>2</v>
      </c>
      <c r="U15" s="15" t="s">
        <v>63</v>
      </c>
      <c r="V15" s="15" t="s">
        <v>75</v>
      </c>
      <c r="W15" s="16" t="s">
        <v>267</v>
      </c>
    </row>
    <row r="16" spans="1:23" ht="33.75" hidden="1" customHeight="1" x14ac:dyDescent="0.25">
      <c r="A16" s="15">
        <f t="shared" si="0"/>
        <v>12</v>
      </c>
      <c r="B16" s="15" t="s">
        <v>90</v>
      </c>
      <c r="C16" s="6" t="s">
        <v>112</v>
      </c>
      <c r="D16" s="6"/>
      <c r="E16" s="26">
        <v>70</v>
      </c>
      <c r="F16" s="26">
        <v>25</v>
      </c>
      <c r="G16" s="26">
        <v>50</v>
      </c>
      <c r="H16" s="26">
        <v>75</v>
      </c>
      <c r="I16" s="26"/>
      <c r="J16" s="26"/>
      <c r="K16" s="26"/>
      <c r="L16" s="26"/>
      <c r="M16" s="26"/>
      <c r="N16" s="26"/>
      <c r="O16" s="15">
        <v>4</v>
      </c>
      <c r="P16" s="6" t="s">
        <v>113</v>
      </c>
      <c r="Q16" s="15">
        <v>1</v>
      </c>
      <c r="R16" s="15" t="s">
        <v>76</v>
      </c>
      <c r="S16" s="15">
        <f>+VLOOKUP(R16,'QB Masters'!F:H,3,0)</f>
        <v>1.5</v>
      </c>
      <c r="T16" s="16">
        <v>3</v>
      </c>
      <c r="U16" s="15" t="s">
        <v>75</v>
      </c>
      <c r="V16" s="15" t="s">
        <v>63</v>
      </c>
      <c r="W16" s="16" t="s">
        <v>266</v>
      </c>
    </row>
    <row r="17" spans="1:23" ht="33.75" hidden="1" customHeight="1" x14ac:dyDescent="0.25">
      <c r="A17" s="15">
        <f t="shared" si="0"/>
        <v>13</v>
      </c>
      <c r="B17" s="15" t="s">
        <v>90</v>
      </c>
      <c r="C17" s="6" t="s">
        <v>114</v>
      </c>
      <c r="D17" s="6"/>
      <c r="E17" s="26">
        <v>3</v>
      </c>
      <c r="F17" s="26">
        <v>2</v>
      </c>
      <c r="G17" s="26">
        <v>4</v>
      </c>
      <c r="H17" s="26">
        <v>1</v>
      </c>
      <c r="I17" s="26">
        <v>2</v>
      </c>
      <c r="J17" s="26"/>
      <c r="K17" s="26"/>
      <c r="L17" s="26"/>
      <c r="M17" s="26"/>
      <c r="N17" s="26"/>
      <c r="O17" s="15">
        <v>1</v>
      </c>
      <c r="P17" s="6"/>
      <c r="Q17" s="15">
        <v>6</v>
      </c>
      <c r="R17" s="15" t="s">
        <v>76</v>
      </c>
      <c r="S17" s="15">
        <f>+VLOOKUP(R17,'QB Masters'!F:H,3,0)</f>
        <v>1.5</v>
      </c>
      <c r="T17" s="16">
        <v>5</v>
      </c>
      <c r="U17" s="15" t="s">
        <v>63</v>
      </c>
      <c r="V17" s="15" t="s">
        <v>63</v>
      </c>
      <c r="W17" s="16" t="s">
        <v>267</v>
      </c>
    </row>
    <row r="18" spans="1:23" ht="33.75" customHeight="1" x14ac:dyDescent="0.25">
      <c r="A18" s="15">
        <f t="shared" si="0"/>
        <v>14</v>
      </c>
      <c r="B18" s="15" t="s">
        <v>91</v>
      </c>
      <c r="C18" s="6" t="s">
        <v>115</v>
      </c>
      <c r="D18" s="6"/>
      <c r="E18" s="26" t="s">
        <v>116</v>
      </c>
      <c r="F18" s="26" t="s">
        <v>117</v>
      </c>
      <c r="G18" s="26" t="s">
        <v>118</v>
      </c>
      <c r="H18" s="26"/>
      <c r="I18" s="26"/>
      <c r="J18" s="26"/>
      <c r="K18" s="26"/>
      <c r="L18" s="26"/>
      <c r="M18" s="26"/>
      <c r="N18" s="26"/>
      <c r="O18" s="15">
        <v>1</v>
      </c>
      <c r="P18" s="6"/>
      <c r="Q18" s="15">
        <v>2</v>
      </c>
      <c r="R18" s="15" t="s">
        <v>76</v>
      </c>
      <c r="S18" s="15">
        <f>+VLOOKUP(R18,'QB Masters'!F:H,3,0)</f>
        <v>1.5</v>
      </c>
      <c r="T18" s="16">
        <v>2</v>
      </c>
      <c r="U18" s="15" t="s">
        <v>75</v>
      </c>
      <c r="V18" s="15" t="s">
        <v>75</v>
      </c>
      <c r="W18" s="16" t="s">
        <v>265</v>
      </c>
    </row>
    <row r="19" spans="1:23" ht="33.75" customHeight="1" x14ac:dyDescent="0.25">
      <c r="A19" s="15">
        <f t="shared" si="0"/>
        <v>15</v>
      </c>
      <c r="B19" s="15" t="s">
        <v>91</v>
      </c>
      <c r="C19" s="6" t="s">
        <v>128</v>
      </c>
      <c r="D19" s="6"/>
      <c r="E19" s="26" t="s">
        <v>129</v>
      </c>
      <c r="F19" s="26" t="s">
        <v>130</v>
      </c>
      <c r="G19" s="26" t="s">
        <v>131</v>
      </c>
      <c r="H19" s="26"/>
      <c r="I19" s="26"/>
      <c r="J19" s="26"/>
      <c r="K19" s="26"/>
      <c r="L19" s="26"/>
      <c r="M19" s="26"/>
      <c r="N19" s="26"/>
      <c r="O19" s="15">
        <v>1</v>
      </c>
      <c r="P19" s="6"/>
      <c r="Q19" s="15">
        <v>3</v>
      </c>
      <c r="R19" s="15" t="s">
        <v>62</v>
      </c>
      <c r="S19" s="15">
        <f>+VLOOKUP(R19,'QB Masters'!F:H,3,0)</f>
        <v>0.5</v>
      </c>
      <c r="T19" s="16">
        <v>3</v>
      </c>
      <c r="U19" s="15" t="s">
        <v>63</v>
      </c>
      <c r="V19" s="15" t="s">
        <v>75</v>
      </c>
      <c r="W19" s="16" t="s">
        <v>265</v>
      </c>
    </row>
    <row r="20" spans="1:23" ht="33.75" hidden="1" customHeight="1" x14ac:dyDescent="0.25">
      <c r="A20" s="15">
        <f t="shared" si="0"/>
        <v>16</v>
      </c>
      <c r="B20" s="15" t="s">
        <v>92</v>
      </c>
      <c r="C20" s="6" t="s">
        <v>120</v>
      </c>
      <c r="D20" s="6"/>
      <c r="E20" s="26" t="s">
        <v>127</v>
      </c>
      <c r="F20" s="26" t="s">
        <v>126</v>
      </c>
      <c r="G20" s="26" t="s">
        <v>123</v>
      </c>
      <c r="H20" s="26" t="s">
        <v>122</v>
      </c>
      <c r="I20" s="26"/>
      <c r="J20" s="26"/>
      <c r="K20" s="26"/>
      <c r="L20" s="26"/>
      <c r="M20" s="26"/>
      <c r="N20" s="26"/>
      <c r="O20" s="15">
        <v>3</v>
      </c>
      <c r="P20" s="6"/>
      <c r="Q20" s="15">
        <v>5</v>
      </c>
      <c r="R20" s="15" t="s">
        <v>77</v>
      </c>
      <c r="S20" s="15">
        <f>+VLOOKUP(R20,'QB Masters'!F:H,3,0)</f>
        <v>2.5</v>
      </c>
      <c r="T20" s="16">
        <v>6</v>
      </c>
      <c r="U20" s="15" t="s">
        <v>75</v>
      </c>
      <c r="V20" s="15" t="s">
        <v>63</v>
      </c>
      <c r="W20" s="16" t="s">
        <v>267</v>
      </c>
    </row>
    <row r="21" spans="1:23" ht="33.75" hidden="1" customHeight="1" x14ac:dyDescent="0.25">
      <c r="A21" s="15">
        <f t="shared" si="0"/>
        <v>17</v>
      </c>
      <c r="B21" s="15" t="s">
        <v>92</v>
      </c>
      <c r="C21" s="6" t="s">
        <v>121</v>
      </c>
      <c r="D21" s="6"/>
      <c r="E21" s="26" t="s">
        <v>123</v>
      </c>
      <c r="F21" s="26" t="s">
        <v>125</v>
      </c>
      <c r="G21" s="26" t="s">
        <v>124</v>
      </c>
      <c r="H21" s="26" t="s">
        <v>122</v>
      </c>
      <c r="I21" s="26"/>
      <c r="J21" s="26"/>
      <c r="K21" s="26"/>
      <c r="L21" s="26"/>
      <c r="M21" s="26"/>
      <c r="N21" s="26"/>
      <c r="O21" s="15">
        <v>4</v>
      </c>
      <c r="P21" s="6"/>
      <c r="Q21" s="15">
        <v>1</v>
      </c>
      <c r="R21" s="15" t="s">
        <v>76</v>
      </c>
      <c r="S21" s="15">
        <f>+VLOOKUP(R21,'QB Masters'!F:H,3,0)</f>
        <v>1.5</v>
      </c>
      <c r="T21" s="16">
        <v>5</v>
      </c>
      <c r="U21" s="15" t="s">
        <v>75</v>
      </c>
      <c r="V21" s="15" t="s">
        <v>63</v>
      </c>
      <c r="W21" s="16" t="s">
        <v>266</v>
      </c>
    </row>
    <row r="22" spans="1:23" ht="33.75" hidden="1" customHeight="1" x14ac:dyDescent="0.25">
      <c r="A22" s="15">
        <f t="shared" si="0"/>
        <v>18</v>
      </c>
      <c r="B22" s="15" t="s">
        <v>93</v>
      </c>
      <c r="C22" s="6" t="s">
        <v>132</v>
      </c>
      <c r="D22" s="6"/>
      <c r="E22" s="26" t="s">
        <v>133</v>
      </c>
      <c r="F22" s="26" t="s">
        <v>134</v>
      </c>
      <c r="G22" s="26" t="s">
        <v>136</v>
      </c>
      <c r="H22" s="26" t="s">
        <v>135</v>
      </c>
      <c r="I22" s="26"/>
      <c r="J22" s="26"/>
      <c r="K22" s="26"/>
      <c r="L22" s="26"/>
      <c r="M22" s="26"/>
      <c r="N22" s="26"/>
      <c r="O22" s="15">
        <v>3</v>
      </c>
      <c r="P22" s="6"/>
      <c r="Q22" s="15">
        <v>2</v>
      </c>
      <c r="R22" s="15" t="s">
        <v>62</v>
      </c>
      <c r="S22" s="15">
        <f>+VLOOKUP(R22,'QB Masters'!F:H,3,0)</f>
        <v>0.5</v>
      </c>
      <c r="T22" s="16">
        <v>7</v>
      </c>
      <c r="U22" s="15" t="s">
        <v>75</v>
      </c>
      <c r="V22" s="15" t="s">
        <v>75</v>
      </c>
      <c r="W22" s="16" t="s">
        <v>267</v>
      </c>
    </row>
    <row r="23" spans="1:23" ht="33.75" hidden="1" customHeight="1" x14ac:dyDescent="0.25">
      <c r="A23" s="15">
        <f t="shared" si="0"/>
        <v>19</v>
      </c>
      <c r="B23" s="15" t="s">
        <v>93</v>
      </c>
      <c r="C23" s="6" t="s">
        <v>137</v>
      </c>
      <c r="D23" s="6"/>
      <c r="E23" s="26" t="s">
        <v>138</v>
      </c>
      <c r="F23" s="26" t="s">
        <v>139</v>
      </c>
      <c r="G23" s="26"/>
      <c r="H23" s="26"/>
      <c r="I23" s="26"/>
      <c r="J23" s="26"/>
      <c r="K23" s="26"/>
      <c r="L23" s="26"/>
      <c r="M23" s="26"/>
      <c r="N23" s="26"/>
      <c r="O23" s="15">
        <v>1</v>
      </c>
      <c r="P23" s="6"/>
      <c r="Q23" s="15">
        <v>3</v>
      </c>
      <c r="R23" s="15" t="s">
        <v>77</v>
      </c>
      <c r="S23" s="15">
        <f>+VLOOKUP(R23,'QB Masters'!F:H,3,0)</f>
        <v>2.5</v>
      </c>
      <c r="T23" s="16">
        <v>8</v>
      </c>
      <c r="U23" s="15" t="s">
        <v>63</v>
      </c>
      <c r="V23" s="15" t="s">
        <v>75</v>
      </c>
      <c r="W23" s="16" t="s">
        <v>267</v>
      </c>
    </row>
    <row r="24" spans="1:23" ht="33.75" customHeight="1" x14ac:dyDescent="0.25">
      <c r="A24" s="15">
        <f t="shared" si="0"/>
        <v>20</v>
      </c>
      <c r="B24" s="15" t="s">
        <v>94</v>
      </c>
      <c r="C24" s="6" t="s">
        <v>119</v>
      </c>
      <c r="D24" s="6"/>
      <c r="E24" s="26">
        <v>8</v>
      </c>
      <c r="F24" s="26">
        <v>9</v>
      </c>
      <c r="G24" s="26">
        <v>10</v>
      </c>
      <c r="H24" s="26">
        <v>7</v>
      </c>
      <c r="I24" s="26"/>
      <c r="J24" s="26"/>
      <c r="K24" s="26"/>
      <c r="L24" s="26"/>
      <c r="M24" s="26"/>
      <c r="N24" s="26"/>
      <c r="O24" s="15">
        <v>1</v>
      </c>
      <c r="P24" s="6"/>
      <c r="Q24" s="15">
        <v>6</v>
      </c>
      <c r="R24" s="15" t="s">
        <v>76</v>
      </c>
      <c r="S24" s="15">
        <f>+VLOOKUP(R24,'QB Masters'!F:H,3,0)</f>
        <v>1.5</v>
      </c>
      <c r="T24" s="16">
        <v>1</v>
      </c>
      <c r="U24" s="15" t="s">
        <v>63</v>
      </c>
      <c r="V24" s="15" t="s">
        <v>63</v>
      </c>
      <c r="W24" s="16" t="s">
        <v>265</v>
      </c>
    </row>
    <row r="25" spans="1:23" ht="33.75" customHeight="1" x14ac:dyDescent="0.25">
      <c r="A25" s="15">
        <f t="shared" si="0"/>
        <v>21</v>
      </c>
      <c r="B25" s="15" t="s">
        <v>94</v>
      </c>
      <c r="C25" s="6" t="s">
        <v>140</v>
      </c>
      <c r="D25" s="6"/>
      <c r="E25" s="26" t="s">
        <v>141</v>
      </c>
      <c r="F25" s="26" t="s">
        <v>142</v>
      </c>
      <c r="G25" s="26" t="s">
        <v>143</v>
      </c>
      <c r="H25" s="26" t="s">
        <v>144</v>
      </c>
      <c r="I25" s="26" t="s">
        <v>145</v>
      </c>
      <c r="J25" s="26"/>
      <c r="K25" s="26"/>
      <c r="L25" s="26"/>
      <c r="M25" s="26"/>
      <c r="N25" s="26"/>
      <c r="O25" s="15">
        <v>1</v>
      </c>
      <c r="P25" s="6"/>
      <c r="Q25" s="15">
        <v>5</v>
      </c>
      <c r="R25" s="15" t="s">
        <v>76</v>
      </c>
      <c r="S25" s="15">
        <f>+VLOOKUP(R25,'QB Masters'!F:H,3,0)</f>
        <v>1.5</v>
      </c>
      <c r="T25" s="16">
        <v>2</v>
      </c>
      <c r="U25" s="15" t="s">
        <v>63</v>
      </c>
      <c r="V25" s="15" t="s">
        <v>63</v>
      </c>
      <c r="W25" s="16" t="s">
        <v>265</v>
      </c>
    </row>
    <row r="26" spans="1:23" ht="33.75" hidden="1" customHeight="1" x14ac:dyDescent="0.25">
      <c r="A26" s="15">
        <f t="shared" si="0"/>
        <v>22</v>
      </c>
      <c r="B26" s="15" t="s">
        <v>94</v>
      </c>
      <c r="C26" s="6" t="s">
        <v>146</v>
      </c>
      <c r="D26" s="6"/>
      <c r="E26" s="26" t="s">
        <v>148</v>
      </c>
      <c r="F26" s="26" t="s">
        <v>147</v>
      </c>
      <c r="G26" s="26" t="s">
        <v>149</v>
      </c>
      <c r="H26" s="26" t="s">
        <v>150</v>
      </c>
      <c r="I26" s="26"/>
      <c r="J26" s="26"/>
      <c r="K26" s="26"/>
      <c r="L26" s="26"/>
      <c r="M26" s="26"/>
      <c r="N26" s="26"/>
      <c r="O26" s="15">
        <v>2</v>
      </c>
      <c r="P26" s="6"/>
      <c r="Q26" s="15">
        <v>9</v>
      </c>
      <c r="R26" s="15" t="s">
        <v>77</v>
      </c>
      <c r="S26" s="15">
        <f>+VLOOKUP(R26,'QB Masters'!F:H,3,0)</f>
        <v>2.5</v>
      </c>
      <c r="T26" s="16">
        <v>5</v>
      </c>
      <c r="U26" s="15" t="s">
        <v>63</v>
      </c>
      <c r="V26" s="15" t="s">
        <v>75</v>
      </c>
      <c r="W26" s="16" t="s">
        <v>267</v>
      </c>
    </row>
    <row r="27" spans="1:23" ht="33.75" hidden="1" customHeight="1" x14ac:dyDescent="0.25">
      <c r="A27" s="15">
        <f t="shared" si="0"/>
        <v>23</v>
      </c>
      <c r="B27" s="15" t="s">
        <v>95</v>
      </c>
      <c r="C27" s="6" t="s">
        <v>179</v>
      </c>
      <c r="D27" s="6"/>
      <c r="E27" s="26" t="s">
        <v>180</v>
      </c>
      <c r="F27" s="26" t="s">
        <v>181</v>
      </c>
      <c r="G27" s="26" t="s">
        <v>182</v>
      </c>
      <c r="H27" s="26" t="s">
        <v>183</v>
      </c>
      <c r="I27" s="26"/>
      <c r="J27" s="26"/>
      <c r="K27" s="26"/>
      <c r="L27" s="26"/>
      <c r="M27" s="26"/>
      <c r="N27" s="26"/>
      <c r="O27" s="15">
        <v>1</v>
      </c>
      <c r="P27" s="6"/>
      <c r="Q27" s="15">
        <v>6</v>
      </c>
      <c r="R27" s="15" t="s">
        <v>77</v>
      </c>
      <c r="S27" s="15">
        <f>+VLOOKUP(R27,'QB Masters'!F:H,3,0)</f>
        <v>2.5</v>
      </c>
      <c r="T27" s="16">
        <v>6</v>
      </c>
      <c r="U27" s="15" t="s">
        <v>75</v>
      </c>
      <c r="V27" s="15" t="s">
        <v>75</v>
      </c>
      <c r="W27" s="16" t="s">
        <v>266</v>
      </c>
    </row>
    <row r="28" spans="1:23" ht="33.75" hidden="1" customHeight="1" x14ac:dyDescent="0.25">
      <c r="A28" s="15">
        <f t="shared" si="0"/>
        <v>24</v>
      </c>
      <c r="B28" s="15" t="s">
        <v>95</v>
      </c>
      <c r="C28" s="6" t="s">
        <v>184</v>
      </c>
      <c r="D28" s="6"/>
      <c r="E28" s="26" t="s">
        <v>181</v>
      </c>
      <c r="F28" s="26" t="s">
        <v>185</v>
      </c>
      <c r="G28" s="26" t="s">
        <v>183</v>
      </c>
      <c r="H28" s="26" t="s">
        <v>186</v>
      </c>
      <c r="I28" s="26"/>
      <c r="J28" s="26"/>
      <c r="K28" s="26"/>
      <c r="L28" s="26"/>
      <c r="M28" s="26"/>
      <c r="N28" s="26"/>
      <c r="O28" s="15">
        <v>2</v>
      </c>
      <c r="P28" s="6"/>
      <c r="Q28" s="15">
        <v>6</v>
      </c>
      <c r="R28" s="15" t="s">
        <v>76</v>
      </c>
      <c r="S28" s="15">
        <f>+VLOOKUP(R28,'QB Masters'!F:H,3,0)</f>
        <v>1.5</v>
      </c>
      <c r="T28" s="16">
        <v>9</v>
      </c>
      <c r="U28" s="15" t="s">
        <v>75</v>
      </c>
      <c r="V28" s="15" t="s">
        <v>75</v>
      </c>
      <c r="W28" s="16" t="s">
        <v>267</v>
      </c>
    </row>
    <row r="29" spans="1:23" ht="33.75" hidden="1" customHeight="1" x14ac:dyDescent="0.25">
      <c r="A29" s="15">
        <f t="shared" si="0"/>
        <v>25</v>
      </c>
      <c r="B29" s="15" t="s">
        <v>95</v>
      </c>
      <c r="C29" s="6" t="s">
        <v>187</v>
      </c>
      <c r="D29" s="6"/>
      <c r="E29" s="26">
        <v>216</v>
      </c>
      <c r="F29" s="26">
        <v>50</v>
      </c>
      <c r="G29" s="26">
        <v>500</v>
      </c>
      <c r="H29" s="26">
        <v>1000</v>
      </c>
      <c r="I29" s="26"/>
      <c r="J29" s="26"/>
      <c r="K29" s="26"/>
      <c r="L29" s="26"/>
      <c r="M29" s="26"/>
      <c r="N29" s="26"/>
      <c r="O29" s="15">
        <v>1</v>
      </c>
      <c r="P29" s="6"/>
      <c r="Q29" s="15">
        <v>2</v>
      </c>
      <c r="R29" s="15" t="s">
        <v>62</v>
      </c>
      <c r="S29" s="15">
        <f>+VLOOKUP(R29,'QB Masters'!F:H,3,0)</f>
        <v>0.5</v>
      </c>
      <c r="T29" s="16">
        <v>8</v>
      </c>
      <c r="U29" s="15" t="s">
        <v>63</v>
      </c>
      <c r="V29" s="15" t="s">
        <v>75</v>
      </c>
      <c r="W29" s="16" t="s">
        <v>266</v>
      </c>
    </row>
    <row r="30" spans="1:23" ht="33.75" customHeight="1" x14ac:dyDescent="0.25">
      <c r="A30" s="15">
        <f t="shared" si="0"/>
        <v>26</v>
      </c>
      <c r="B30" s="15" t="s">
        <v>96</v>
      </c>
      <c r="C30" s="6" t="s">
        <v>151</v>
      </c>
      <c r="D30" s="6"/>
      <c r="E30" s="26" t="s">
        <v>152</v>
      </c>
      <c r="F30" s="26" t="s">
        <v>153</v>
      </c>
      <c r="G30" s="26"/>
      <c r="H30" s="26"/>
      <c r="I30" s="26"/>
      <c r="J30" s="26"/>
      <c r="K30" s="26"/>
      <c r="L30" s="26"/>
      <c r="M30" s="26"/>
      <c r="N30" s="26"/>
      <c r="O30" s="15">
        <v>1</v>
      </c>
      <c r="P30" s="6"/>
      <c r="Q30" s="15">
        <v>1</v>
      </c>
      <c r="R30" s="15" t="s">
        <v>76</v>
      </c>
      <c r="S30" s="15">
        <f>+VLOOKUP(R30,'QB Masters'!F:H,3,0)</f>
        <v>1.5</v>
      </c>
      <c r="T30" s="16">
        <v>2</v>
      </c>
      <c r="U30" s="15" t="s">
        <v>75</v>
      </c>
      <c r="V30" s="15" t="s">
        <v>63</v>
      </c>
      <c r="W30" s="16" t="s">
        <v>265</v>
      </c>
    </row>
    <row r="31" spans="1:23" ht="33.75" customHeight="1" x14ac:dyDescent="0.25">
      <c r="A31" s="15">
        <f t="shared" si="0"/>
        <v>27</v>
      </c>
      <c r="B31" s="15" t="s">
        <v>96</v>
      </c>
      <c r="C31" s="6" t="s">
        <v>155</v>
      </c>
      <c r="D31" s="6"/>
      <c r="E31" s="26" t="s">
        <v>156</v>
      </c>
      <c r="F31" s="26" t="s">
        <v>157</v>
      </c>
      <c r="G31" s="26" t="s">
        <v>158</v>
      </c>
      <c r="H31" s="26" t="s">
        <v>159</v>
      </c>
      <c r="I31" s="26" t="s">
        <v>160</v>
      </c>
      <c r="J31" s="26"/>
      <c r="K31" s="26"/>
      <c r="L31" s="26"/>
      <c r="M31" s="26"/>
      <c r="N31" s="26"/>
      <c r="O31" s="15">
        <v>4</v>
      </c>
      <c r="P31" s="6"/>
      <c r="Q31" s="15">
        <v>2</v>
      </c>
      <c r="R31" s="15" t="s">
        <v>62</v>
      </c>
      <c r="S31" s="15">
        <f>+VLOOKUP(R31,'QB Masters'!F:H,3,0)</f>
        <v>0.5</v>
      </c>
      <c r="T31" s="16">
        <v>1</v>
      </c>
      <c r="U31" s="15" t="s">
        <v>63</v>
      </c>
      <c r="V31" s="15" t="s">
        <v>63</v>
      </c>
      <c r="W31" s="16" t="s">
        <v>265</v>
      </c>
    </row>
    <row r="32" spans="1:23" ht="33.75" hidden="1" customHeight="1" x14ac:dyDescent="0.25">
      <c r="A32" s="15">
        <f t="shared" si="0"/>
        <v>28</v>
      </c>
      <c r="B32" s="15" t="s">
        <v>96</v>
      </c>
      <c r="C32" s="6" t="s">
        <v>168</v>
      </c>
      <c r="D32" s="6"/>
      <c r="E32" s="26" t="s">
        <v>169</v>
      </c>
      <c r="F32" s="26" t="s">
        <v>170</v>
      </c>
      <c r="G32" s="26" t="s">
        <v>171</v>
      </c>
      <c r="H32" s="26"/>
      <c r="I32" s="26"/>
      <c r="J32" s="26"/>
      <c r="K32" s="26"/>
      <c r="L32" s="26"/>
      <c r="M32" s="26"/>
      <c r="N32" s="26"/>
      <c r="O32" s="15">
        <v>1</v>
      </c>
      <c r="P32" s="6"/>
      <c r="Q32" s="15">
        <v>3</v>
      </c>
      <c r="R32" s="15" t="s">
        <v>77</v>
      </c>
      <c r="S32" s="15">
        <f>+VLOOKUP(R32,'QB Masters'!F:H,3,0)</f>
        <v>2.5</v>
      </c>
      <c r="T32" s="16">
        <v>4</v>
      </c>
      <c r="U32" s="15" t="s">
        <v>75</v>
      </c>
      <c r="V32" s="15" t="s">
        <v>75</v>
      </c>
      <c r="W32" s="16" t="s">
        <v>267</v>
      </c>
    </row>
    <row r="33" spans="1:23" ht="33.75" customHeight="1" x14ac:dyDescent="0.25">
      <c r="A33" s="15">
        <f t="shared" si="0"/>
        <v>29</v>
      </c>
      <c r="B33" s="15" t="s">
        <v>96</v>
      </c>
      <c r="C33" s="6" t="s">
        <v>154</v>
      </c>
      <c r="D33" s="6"/>
      <c r="E33" s="26" t="s">
        <v>173</v>
      </c>
      <c r="F33" s="26" t="s">
        <v>172</v>
      </c>
      <c r="G33" s="26"/>
      <c r="H33" s="26"/>
      <c r="I33" s="26"/>
      <c r="J33" s="26"/>
      <c r="K33" s="26"/>
      <c r="L33" s="26"/>
      <c r="M33" s="26"/>
      <c r="N33" s="26"/>
      <c r="O33" s="15">
        <v>2</v>
      </c>
      <c r="P33" s="6"/>
      <c r="Q33" s="15">
        <v>5</v>
      </c>
      <c r="R33" s="15" t="s">
        <v>76</v>
      </c>
      <c r="S33" s="15">
        <f>+VLOOKUP(R33,'QB Masters'!F:H,3,0)</f>
        <v>1.5</v>
      </c>
      <c r="T33" s="16">
        <v>5</v>
      </c>
      <c r="U33" s="15" t="s">
        <v>63</v>
      </c>
      <c r="V33" s="15" t="s">
        <v>75</v>
      </c>
      <c r="W33" s="16" t="s">
        <v>265</v>
      </c>
    </row>
    <row r="34" spans="1:23" ht="33.75" hidden="1" customHeight="1" x14ac:dyDescent="0.25">
      <c r="A34" s="15">
        <f t="shared" si="0"/>
        <v>30</v>
      </c>
      <c r="B34" s="15" t="s">
        <v>97</v>
      </c>
      <c r="C34" s="6" t="s">
        <v>161</v>
      </c>
      <c r="D34" s="6"/>
      <c r="E34" s="26" t="s">
        <v>162</v>
      </c>
      <c r="F34" s="26" t="s">
        <v>163</v>
      </c>
      <c r="G34" s="26" t="s">
        <v>164</v>
      </c>
      <c r="H34" s="26"/>
      <c r="I34" s="26"/>
      <c r="J34" s="26"/>
      <c r="K34" s="26"/>
      <c r="L34" s="26"/>
      <c r="M34" s="26"/>
      <c r="N34" s="26"/>
      <c r="O34" s="15">
        <v>1</v>
      </c>
      <c r="P34" s="6"/>
      <c r="Q34" s="15">
        <v>8</v>
      </c>
      <c r="R34" s="15" t="s">
        <v>77</v>
      </c>
      <c r="S34" s="15">
        <f>+VLOOKUP(R34,'QB Masters'!F:H,3,0)</f>
        <v>2.5</v>
      </c>
      <c r="T34" s="16">
        <v>6</v>
      </c>
      <c r="U34" s="15" t="s">
        <v>75</v>
      </c>
      <c r="V34" s="15" t="s">
        <v>63</v>
      </c>
      <c r="W34" s="16" t="s">
        <v>267</v>
      </c>
    </row>
    <row r="35" spans="1:23" ht="33.75" hidden="1" customHeight="1" x14ac:dyDescent="0.25">
      <c r="A35" s="15">
        <f t="shared" si="0"/>
        <v>31</v>
      </c>
      <c r="B35" s="15" t="s">
        <v>97</v>
      </c>
      <c r="C35" s="6" t="s">
        <v>245</v>
      </c>
      <c r="D35" s="6"/>
      <c r="E35" s="27">
        <v>45519</v>
      </c>
      <c r="F35" s="27">
        <v>45317</v>
      </c>
      <c r="G35" s="27">
        <v>45567</v>
      </c>
      <c r="H35" s="26"/>
      <c r="I35" s="26"/>
      <c r="J35" s="26"/>
      <c r="K35" s="26"/>
      <c r="L35" s="26"/>
      <c r="M35" s="26"/>
      <c r="N35" s="26"/>
      <c r="O35" s="15">
        <v>1</v>
      </c>
      <c r="P35" s="6"/>
      <c r="Q35" s="15">
        <v>5</v>
      </c>
      <c r="R35" s="15" t="s">
        <v>77</v>
      </c>
      <c r="S35" s="15">
        <f>+VLOOKUP(R35,'QB Masters'!F:H,3,0)</f>
        <v>2.5</v>
      </c>
      <c r="T35" s="16">
        <v>5</v>
      </c>
      <c r="U35" s="15" t="s">
        <v>63</v>
      </c>
      <c r="V35" s="15" t="s">
        <v>63</v>
      </c>
      <c r="W35" s="16" t="s">
        <v>266</v>
      </c>
    </row>
    <row r="36" spans="1:23" ht="33.75" hidden="1" customHeight="1" x14ac:dyDescent="0.25">
      <c r="A36" s="15">
        <f t="shared" si="0"/>
        <v>32</v>
      </c>
      <c r="B36" s="15" t="s">
        <v>97</v>
      </c>
      <c r="C36" s="6" t="s">
        <v>174</v>
      </c>
      <c r="D36" s="6"/>
      <c r="E36" s="26" t="s">
        <v>177</v>
      </c>
      <c r="F36" s="26" t="s">
        <v>175</v>
      </c>
      <c r="G36" s="26" t="s">
        <v>176</v>
      </c>
      <c r="H36" s="26" t="s">
        <v>135</v>
      </c>
      <c r="I36" s="26" t="s">
        <v>178</v>
      </c>
      <c r="J36" s="26"/>
      <c r="K36" s="26"/>
      <c r="L36" s="26"/>
      <c r="M36" s="26"/>
      <c r="N36" s="26"/>
      <c r="O36" s="15">
        <v>3</v>
      </c>
      <c r="P36" s="6"/>
      <c r="Q36" s="15">
        <v>3</v>
      </c>
      <c r="R36" s="15" t="s">
        <v>76</v>
      </c>
      <c r="S36" s="15">
        <f>+VLOOKUP(R36,'QB Masters'!F:H,3,0)</f>
        <v>1.5</v>
      </c>
      <c r="T36" s="16">
        <v>6</v>
      </c>
      <c r="U36" s="15" t="s">
        <v>75</v>
      </c>
      <c r="V36" s="15" t="s">
        <v>75</v>
      </c>
      <c r="W36" s="16" t="s">
        <v>266</v>
      </c>
    </row>
    <row r="37" spans="1:23" ht="33.75" customHeight="1" x14ac:dyDescent="0.25">
      <c r="A37" s="15">
        <f t="shared" si="0"/>
        <v>33</v>
      </c>
      <c r="B37" s="15" t="s">
        <v>98</v>
      </c>
      <c r="C37" s="6" t="s">
        <v>165</v>
      </c>
      <c r="D37" s="6"/>
      <c r="E37" s="26" t="s">
        <v>24</v>
      </c>
      <c r="F37" s="26" t="s">
        <v>166</v>
      </c>
      <c r="G37" s="26" t="s">
        <v>167</v>
      </c>
      <c r="H37" s="26"/>
      <c r="I37" s="26"/>
      <c r="J37" s="26"/>
      <c r="K37" s="26"/>
      <c r="L37" s="26"/>
      <c r="M37" s="26"/>
      <c r="N37" s="26"/>
      <c r="O37" s="15">
        <v>2</v>
      </c>
      <c r="P37" s="6"/>
      <c r="Q37" s="15">
        <v>6</v>
      </c>
      <c r="R37" s="15" t="s">
        <v>76</v>
      </c>
      <c r="S37" s="15">
        <f>+VLOOKUP(R37,'QB Masters'!F:H,3,0)</f>
        <v>1.5</v>
      </c>
      <c r="T37" s="16">
        <v>4</v>
      </c>
      <c r="U37" s="15" t="s">
        <v>63</v>
      </c>
      <c r="V37" s="15" t="s">
        <v>63</v>
      </c>
      <c r="W37" s="16" t="s">
        <v>265</v>
      </c>
    </row>
    <row r="38" spans="1:23" ht="33.75" hidden="1" customHeight="1" x14ac:dyDescent="0.25">
      <c r="A38" s="15">
        <f t="shared" ref="A38:A54" si="1">+IF(C38&lt;&gt;"",A37+1,"-")</f>
        <v>34</v>
      </c>
      <c r="B38" s="15" t="s">
        <v>98</v>
      </c>
      <c r="C38" s="6" t="s">
        <v>188</v>
      </c>
      <c r="D38" s="6"/>
      <c r="E38" s="26" t="s">
        <v>167</v>
      </c>
      <c r="F38" s="26" t="s">
        <v>166</v>
      </c>
      <c r="G38" s="26" t="s">
        <v>189</v>
      </c>
      <c r="H38" s="26" t="s">
        <v>190</v>
      </c>
      <c r="I38" s="26"/>
      <c r="J38" s="26"/>
      <c r="K38" s="26"/>
      <c r="L38" s="26"/>
      <c r="M38" s="26"/>
      <c r="N38" s="26"/>
      <c r="O38" s="15">
        <v>4</v>
      </c>
      <c r="P38" s="6"/>
      <c r="Q38" s="15">
        <v>4</v>
      </c>
      <c r="R38" s="15" t="s">
        <v>62</v>
      </c>
      <c r="S38" s="15">
        <f>+VLOOKUP(R38,'QB Masters'!F:H,3,0)</f>
        <v>0.5</v>
      </c>
      <c r="T38" s="16">
        <v>8</v>
      </c>
      <c r="U38" s="15" t="s">
        <v>75</v>
      </c>
      <c r="V38" s="15" t="s">
        <v>75</v>
      </c>
      <c r="W38" s="16" t="s">
        <v>267</v>
      </c>
    </row>
    <row r="39" spans="1:23" ht="33.75" hidden="1" customHeight="1" x14ac:dyDescent="0.25">
      <c r="A39" s="15">
        <f t="shared" si="1"/>
        <v>35</v>
      </c>
      <c r="B39" s="15" t="s">
        <v>99</v>
      </c>
      <c r="C39" s="6" t="s">
        <v>191</v>
      </c>
      <c r="D39" s="6"/>
      <c r="E39" s="26" t="s">
        <v>192</v>
      </c>
      <c r="F39" s="26" t="s">
        <v>193</v>
      </c>
      <c r="G39" s="26" t="s">
        <v>194</v>
      </c>
      <c r="H39" s="26"/>
      <c r="I39" s="26"/>
      <c r="J39" s="26"/>
      <c r="K39" s="26"/>
      <c r="L39" s="26"/>
      <c r="M39" s="26"/>
      <c r="N39" s="26"/>
      <c r="O39" s="15">
        <v>2</v>
      </c>
      <c r="P39" s="6"/>
      <c r="Q39" s="15">
        <v>4</v>
      </c>
      <c r="R39" s="15" t="s">
        <v>62</v>
      </c>
      <c r="S39" s="15">
        <f>+VLOOKUP(R39,'QB Masters'!F:H,3,0)</f>
        <v>0.5</v>
      </c>
      <c r="T39" s="16">
        <v>2</v>
      </c>
      <c r="U39" s="15" t="s">
        <v>63</v>
      </c>
      <c r="V39" s="15" t="s">
        <v>63</v>
      </c>
      <c r="W39" s="16" t="s">
        <v>267</v>
      </c>
    </row>
    <row r="40" spans="1:23" ht="33.75" hidden="1" customHeight="1" x14ac:dyDescent="0.25">
      <c r="A40" s="15">
        <f t="shared" si="1"/>
        <v>36</v>
      </c>
      <c r="B40" s="15" t="s">
        <v>100</v>
      </c>
      <c r="C40" s="6" t="s">
        <v>195</v>
      </c>
      <c r="D40" s="6"/>
      <c r="E40" s="26" t="s">
        <v>199</v>
      </c>
      <c r="F40" s="26" t="s">
        <v>196</v>
      </c>
      <c r="G40" s="26" t="s">
        <v>197</v>
      </c>
      <c r="H40" s="26" t="s">
        <v>198</v>
      </c>
      <c r="I40" s="26"/>
      <c r="J40" s="26"/>
      <c r="K40" s="26"/>
      <c r="L40" s="26"/>
      <c r="M40" s="26"/>
      <c r="N40" s="26"/>
      <c r="O40" s="15">
        <v>2</v>
      </c>
      <c r="P40" s="6"/>
      <c r="Q40" s="15">
        <v>5</v>
      </c>
      <c r="R40" s="15" t="s">
        <v>77</v>
      </c>
      <c r="S40" s="15">
        <f>+VLOOKUP(R40,'QB Masters'!F:H,3,0)</f>
        <v>2.5</v>
      </c>
      <c r="T40" s="16">
        <v>6</v>
      </c>
      <c r="U40" s="15" t="s">
        <v>75</v>
      </c>
      <c r="V40" s="15" t="s">
        <v>63</v>
      </c>
      <c r="W40" s="16" t="s">
        <v>266</v>
      </c>
    </row>
    <row r="41" spans="1:23" ht="33.75" hidden="1" customHeight="1" x14ac:dyDescent="0.25">
      <c r="A41" s="15">
        <f t="shared" si="1"/>
        <v>37</v>
      </c>
      <c r="B41" s="15" t="s">
        <v>100</v>
      </c>
      <c r="C41" s="6" t="s">
        <v>200</v>
      </c>
      <c r="D41" s="6"/>
      <c r="E41" s="26" t="s">
        <v>201</v>
      </c>
      <c r="F41" s="26" t="s">
        <v>197</v>
      </c>
      <c r="G41" s="26" t="s">
        <v>202</v>
      </c>
      <c r="H41" s="26"/>
      <c r="I41" s="26"/>
      <c r="J41" s="26"/>
      <c r="K41" s="26"/>
      <c r="L41" s="26"/>
      <c r="M41" s="26"/>
      <c r="N41" s="26"/>
      <c r="O41" s="15">
        <v>3</v>
      </c>
      <c r="P41" s="6"/>
      <c r="Q41" s="15">
        <v>6</v>
      </c>
      <c r="R41" s="15" t="s">
        <v>76</v>
      </c>
      <c r="S41" s="15">
        <f>+VLOOKUP(R41,'QB Masters'!F:H,3,0)</f>
        <v>1.5</v>
      </c>
      <c r="T41" s="16">
        <v>9</v>
      </c>
      <c r="U41" s="15" t="s">
        <v>63</v>
      </c>
      <c r="V41" s="15" t="s">
        <v>63</v>
      </c>
      <c r="W41" s="16" t="s">
        <v>267</v>
      </c>
    </row>
    <row r="42" spans="1:23" ht="33.75" hidden="1" customHeight="1" x14ac:dyDescent="0.25">
      <c r="A42" s="15">
        <f t="shared" si="1"/>
        <v>38</v>
      </c>
      <c r="B42" s="15" t="s">
        <v>101</v>
      </c>
      <c r="C42" s="6" t="s">
        <v>203</v>
      </c>
      <c r="D42" s="6"/>
      <c r="E42" s="26" t="s">
        <v>204</v>
      </c>
      <c r="F42" s="26" t="s">
        <v>205</v>
      </c>
      <c r="G42" s="26" t="s">
        <v>206</v>
      </c>
      <c r="H42" s="26" t="s">
        <v>207</v>
      </c>
      <c r="I42" s="26"/>
      <c r="J42" s="26"/>
      <c r="K42" s="26"/>
      <c r="L42" s="26"/>
      <c r="M42" s="26"/>
      <c r="N42" s="26"/>
      <c r="O42" s="15">
        <v>1</v>
      </c>
      <c r="P42" s="6"/>
      <c r="Q42" s="15">
        <v>5</v>
      </c>
      <c r="R42" s="15" t="s">
        <v>62</v>
      </c>
      <c r="S42" s="15">
        <f>+VLOOKUP(R42,'QB Masters'!F:H,3,0)</f>
        <v>0.5</v>
      </c>
      <c r="T42" s="16">
        <v>5</v>
      </c>
      <c r="U42" s="15" t="s">
        <v>75</v>
      </c>
      <c r="V42" s="15" t="s">
        <v>75</v>
      </c>
      <c r="W42" s="16" t="s">
        <v>267</v>
      </c>
    </row>
    <row r="43" spans="1:23" ht="33.75" customHeight="1" x14ac:dyDescent="0.25">
      <c r="A43" s="15">
        <f t="shared" si="1"/>
        <v>39</v>
      </c>
      <c r="B43" s="15" t="s">
        <v>101</v>
      </c>
      <c r="C43" s="6" t="s">
        <v>208</v>
      </c>
      <c r="D43" s="6"/>
      <c r="E43" s="26" t="s">
        <v>209</v>
      </c>
      <c r="F43" s="26" t="s">
        <v>210</v>
      </c>
      <c r="G43" s="26" t="s">
        <v>211</v>
      </c>
      <c r="H43" s="26"/>
      <c r="I43" s="26"/>
      <c r="J43" s="26"/>
      <c r="K43" s="26"/>
      <c r="L43" s="26"/>
      <c r="M43" s="26"/>
      <c r="N43" s="26"/>
      <c r="O43" s="15">
        <v>3</v>
      </c>
      <c r="P43" s="6"/>
      <c r="Q43" s="15">
        <v>4</v>
      </c>
      <c r="R43" s="15" t="s">
        <v>76</v>
      </c>
      <c r="S43" s="15">
        <f>+VLOOKUP(R43,'QB Masters'!F:H,3,0)</f>
        <v>1.5</v>
      </c>
      <c r="T43" s="16">
        <v>7</v>
      </c>
      <c r="U43" s="15" t="s">
        <v>63</v>
      </c>
      <c r="V43" s="15" t="s">
        <v>75</v>
      </c>
      <c r="W43" s="16" t="s">
        <v>265</v>
      </c>
    </row>
    <row r="44" spans="1:23" ht="33.75" hidden="1" customHeight="1" x14ac:dyDescent="0.25">
      <c r="A44" s="15">
        <f t="shared" si="1"/>
        <v>40</v>
      </c>
      <c r="B44" s="15" t="s">
        <v>102</v>
      </c>
      <c r="C44" s="6" t="s">
        <v>212</v>
      </c>
      <c r="D44" s="6"/>
      <c r="E44" s="26">
        <v>1924</v>
      </c>
      <c r="F44" s="26">
        <v>1922</v>
      </c>
      <c r="G44" s="26">
        <v>1926</v>
      </c>
      <c r="H44" s="26">
        <v>1930</v>
      </c>
      <c r="I44" s="26"/>
      <c r="J44" s="26"/>
      <c r="K44" s="26"/>
      <c r="L44" s="26"/>
      <c r="M44" s="26"/>
      <c r="N44" s="26"/>
      <c r="O44" s="15">
        <v>1</v>
      </c>
      <c r="P44" s="6"/>
      <c r="Q44" s="15">
        <v>7</v>
      </c>
      <c r="R44" s="15" t="s">
        <v>77</v>
      </c>
      <c r="S44" s="15">
        <f>+VLOOKUP(R44,'QB Masters'!F:H,3,0)</f>
        <v>2.5</v>
      </c>
      <c r="T44" s="16">
        <v>1</v>
      </c>
      <c r="U44" s="15" t="s">
        <v>75</v>
      </c>
      <c r="V44" s="15" t="s">
        <v>75</v>
      </c>
      <c r="W44" s="16" t="s">
        <v>267</v>
      </c>
    </row>
    <row r="45" spans="1:23" ht="33.75" hidden="1" customHeight="1" x14ac:dyDescent="0.25">
      <c r="A45" s="15">
        <f t="shared" si="1"/>
        <v>41</v>
      </c>
      <c r="B45" s="15" t="s">
        <v>102</v>
      </c>
      <c r="C45" s="6" t="s">
        <v>213</v>
      </c>
      <c r="D45" s="6"/>
      <c r="E45" s="26">
        <v>1986</v>
      </c>
      <c r="F45" s="26">
        <v>1985</v>
      </c>
      <c r="G45" s="26">
        <v>1987</v>
      </c>
      <c r="H45" s="26">
        <v>1984</v>
      </c>
      <c r="I45" s="26"/>
      <c r="J45" s="26"/>
      <c r="K45" s="26"/>
      <c r="L45" s="26"/>
      <c r="M45" s="26"/>
      <c r="N45" s="26"/>
      <c r="O45" s="15">
        <v>2</v>
      </c>
      <c r="P45" s="6"/>
      <c r="Q45" s="15">
        <v>5</v>
      </c>
      <c r="R45" s="15" t="s">
        <v>76</v>
      </c>
      <c r="S45" s="15">
        <f>+VLOOKUP(R45,'QB Masters'!F:H,3,0)</f>
        <v>1.5</v>
      </c>
      <c r="T45" s="16">
        <v>2</v>
      </c>
      <c r="U45" s="15" t="s">
        <v>63</v>
      </c>
      <c r="V45" s="15" t="s">
        <v>75</v>
      </c>
      <c r="W45" s="16" t="s">
        <v>266</v>
      </c>
    </row>
    <row r="46" spans="1:23" ht="33.75" hidden="1" customHeight="1" x14ac:dyDescent="0.25">
      <c r="A46" s="15">
        <f t="shared" si="1"/>
        <v>42</v>
      </c>
      <c r="B46" s="15" t="s">
        <v>102</v>
      </c>
      <c r="C46" s="6" t="s">
        <v>214</v>
      </c>
      <c r="D46" s="6"/>
      <c r="E46" s="26" t="s">
        <v>215</v>
      </c>
      <c r="F46" s="26" t="s">
        <v>30</v>
      </c>
      <c r="G46" s="26" t="s">
        <v>216</v>
      </c>
      <c r="H46" s="26"/>
      <c r="I46" s="26"/>
      <c r="J46" s="26"/>
      <c r="K46" s="26"/>
      <c r="L46" s="26"/>
      <c r="M46" s="26"/>
      <c r="N46" s="26"/>
      <c r="O46" s="15">
        <v>1</v>
      </c>
      <c r="P46" s="6"/>
      <c r="Q46" s="15">
        <v>2</v>
      </c>
      <c r="R46" s="15" t="s">
        <v>77</v>
      </c>
      <c r="S46" s="15">
        <f>+VLOOKUP(R46,'QB Masters'!F:H,3,0)</f>
        <v>2.5</v>
      </c>
      <c r="T46" s="16">
        <v>5</v>
      </c>
      <c r="U46" s="15" t="s">
        <v>75</v>
      </c>
      <c r="V46" s="15" t="s">
        <v>75</v>
      </c>
      <c r="W46" s="16" t="s">
        <v>266</v>
      </c>
    </row>
    <row r="47" spans="1:23" ht="33.75" customHeight="1" x14ac:dyDescent="0.25">
      <c r="A47" s="15">
        <f t="shared" si="1"/>
        <v>43</v>
      </c>
      <c r="B47" s="15" t="s">
        <v>103</v>
      </c>
      <c r="C47" s="6" t="s">
        <v>217</v>
      </c>
      <c r="D47" s="6"/>
      <c r="E47" s="26" t="b">
        <v>1</v>
      </c>
      <c r="F47" s="26" t="b">
        <v>0</v>
      </c>
      <c r="G47" s="26"/>
      <c r="H47" s="26"/>
      <c r="I47" s="26"/>
      <c r="J47" s="26"/>
      <c r="K47" s="26"/>
      <c r="L47" s="26"/>
      <c r="M47" s="26"/>
      <c r="N47" s="26"/>
      <c r="O47" s="15">
        <v>1</v>
      </c>
      <c r="P47" s="6"/>
      <c r="Q47" s="15">
        <v>3</v>
      </c>
      <c r="R47" s="15" t="s">
        <v>77</v>
      </c>
      <c r="S47" s="15">
        <f>+VLOOKUP(R47,'QB Masters'!F:H,3,0)</f>
        <v>2.5</v>
      </c>
      <c r="T47" s="16">
        <v>3</v>
      </c>
      <c r="U47" s="15" t="s">
        <v>63</v>
      </c>
      <c r="V47" s="15" t="s">
        <v>75</v>
      </c>
      <c r="W47" s="16" t="s">
        <v>265</v>
      </c>
    </row>
    <row r="48" spans="1:23" ht="33.75" hidden="1" customHeight="1" x14ac:dyDescent="0.25">
      <c r="A48" s="15">
        <f t="shared" si="1"/>
        <v>44</v>
      </c>
      <c r="B48" s="15" t="s">
        <v>103</v>
      </c>
      <c r="C48" s="6" t="s">
        <v>218</v>
      </c>
      <c r="D48" s="6"/>
      <c r="E48" s="26" t="s">
        <v>219</v>
      </c>
      <c r="F48" s="26" t="s">
        <v>220</v>
      </c>
      <c r="G48" s="26" t="s">
        <v>221</v>
      </c>
      <c r="H48" s="26"/>
      <c r="I48" s="26"/>
      <c r="J48" s="26"/>
      <c r="K48" s="26"/>
      <c r="L48" s="26"/>
      <c r="M48" s="26"/>
      <c r="N48" s="26"/>
      <c r="O48" s="15">
        <v>1</v>
      </c>
      <c r="P48" s="6"/>
      <c r="Q48" s="15">
        <v>5</v>
      </c>
      <c r="R48" s="15" t="s">
        <v>62</v>
      </c>
      <c r="S48" s="15">
        <f>+VLOOKUP(R48,'QB Masters'!F:H,3,0)</f>
        <v>0.5</v>
      </c>
      <c r="T48" s="16">
        <v>4</v>
      </c>
      <c r="U48" s="15" t="s">
        <v>75</v>
      </c>
      <c r="V48" s="15" t="s">
        <v>75</v>
      </c>
      <c r="W48" s="16" t="s">
        <v>266</v>
      </c>
    </row>
    <row r="49" spans="1:23" ht="33.75" hidden="1" customHeight="1" x14ac:dyDescent="0.25">
      <c r="A49" s="15">
        <f t="shared" si="1"/>
        <v>45</v>
      </c>
      <c r="B49" s="15" t="s">
        <v>103</v>
      </c>
      <c r="C49" s="6" t="s">
        <v>222</v>
      </c>
      <c r="D49" s="6"/>
      <c r="E49" s="26">
        <v>1882</v>
      </c>
      <c r="F49" s="26">
        <v>1709</v>
      </c>
      <c r="G49" s="26">
        <v>1774</v>
      </c>
      <c r="H49" s="26"/>
      <c r="I49" s="26"/>
      <c r="J49" s="26"/>
      <c r="K49" s="26"/>
      <c r="L49" s="26"/>
      <c r="M49" s="26"/>
      <c r="N49" s="26"/>
      <c r="O49" s="15">
        <v>3</v>
      </c>
      <c r="P49" s="6"/>
      <c r="Q49" s="15">
        <v>5</v>
      </c>
      <c r="R49" s="15" t="s">
        <v>76</v>
      </c>
      <c r="S49" s="15">
        <f>+VLOOKUP(R49,'QB Masters'!F:H,3,0)</f>
        <v>1.5</v>
      </c>
      <c r="T49" s="16">
        <v>7</v>
      </c>
      <c r="U49" s="15" t="s">
        <v>63</v>
      </c>
      <c r="V49" s="15" t="s">
        <v>63</v>
      </c>
      <c r="W49" s="16" t="s">
        <v>266</v>
      </c>
    </row>
    <row r="50" spans="1:23" ht="51" hidden="1" customHeight="1" x14ac:dyDescent="0.25">
      <c r="A50" s="15">
        <f t="shared" si="1"/>
        <v>46</v>
      </c>
      <c r="B50" s="15" t="s">
        <v>103</v>
      </c>
      <c r="C50" s="6" t="s">
        <v>223</v>
      </c>
      <c r="D50" s="6"/>
      <c r="E50" s="26" t="s">
        <v>224</v>
      </c>
      <c r="F50" s="26" t="s">
        <v>225</v>
      </c>
      <c r="G50" s="26" t="s">
        <v>226</v>
      </c>
      <c r="H50" s="26" t="s">
        <v>227</v>
      </c>
      <c r="I50" s="26"/>
      <c r="J50" s="26"/>
      <c r="K50" s="26"/>
      <c r="L50" s="26"/>
      <c r="M50" s="26"/>
      <c r="N50" s="26"/>
      <c r="O50" s="15">
        <v>3</v>
      </c>
      <c r="P50" s="6"/>
      <c r="Q50" s="15">
        <v>6</v>
      </c>
      <c r="R50" s="15" t="s">
        <v>76</v>
      </c>
      <c r="S50" s="15">
        <f>+VLOOKUP(R50,'QB Masters'!F:H,3,0)</f>
        <v>1.5</v>
      </c>
      <c r="T50" s="16">
        <v>8</v>
      </c>
      <c r="U50" s="15" t="s">
        <v>63</v>
      </c>
      <c r="V50" s="15" t="s">
        <v>63</v>
      </c>
      <c r="W50" s="16" t="s">
        <v>266</v>
      </c>
    </row>
    <row r="51" spans="1:23" ht="43.5" hidden="1" customHeight="1" x14ac:dyDescent="0.25">
      <c r="A51" s="15">
        <f t="shared" si="1"/>
        <v>47</v>
      </c>
      <c r="B51" s="15" t="s">
        <v>103</v>
      </c>
      <c r="C51" s="6" t="s">
        <v>228</v>
      </c>
      <c r="D51" s="6"/>
      <c r="E51" s="26" t="b">
        <v>1</v>
      </c>
      <c r="F51" s="26" t="b">
        <v>0</v>
      </c>
      <c r="G51" s="26"/>
      <c r="H51" s="26"/>
      <c r="I51" s="26"/>
      <c r="J51" s="26"/>
      <c r="K51" s="26"/>
      <c r="L51" s="26"/>
      <c r="M51" s="26"/>
      <c r="N51" s="26"/>
      <c r="O51" s="15">
        <v>2</v>
      </c>
      <c r="P51" s="6"/>
      <c r="Q51" s="15">
        <v>9</v>
      </c>
      <c r="R51" s="15" t="s">
        <v>77</v>
      </c>
      <c r="S51" s="15">
        <f>+VLOOKUP(R51,'QB Masters'!F:H,3,0)</f>
        <v>2.5</v>
      </c>
      <c r="T51" s="16">
        <v>9</v>
      </c>
      <c r="U51" s="15" t="s">
        <v>75</v>
      </c>
      <c r="V51" s="15" t="s">
        <v>63</v>
      </c>
      <c r="W51" s="16" t="s">
        <v>266</v>
      </c>
    </row>
    <row r="52" spans="1:23" ht="33.75" customHeight="1" x14ac:dyDescent="0.25">
      <c r="A52" s="15">
        <f t="shared" si="1"/>
        <v>48</v>
      </c>
      <c r="B52" s="15" t="s">
        <v>104</v>
      </c>
      <c r="C52" s="6" t="s">
        <v>229</v>
      </c>
      <c r="D52" s="6"/>
      <c r="E52" s="26" t="s">
        <v>230</v>
      </c>
      <c r="F52" s="26" t="s">
        <v>231</v>
      </c>
      <c r="G52" s="26" t="s">
        <v>232</v>
      </c>
      <c r="H52" s="26" t="s">
        <v>233</v>
      </c>
      <c r="I52" s="26"/>
      <c r="J52" s="26"/>
      <c r="K52" s="26"/>
      <c r="L52" s="26"/>
      <c r="M52" s="26"/>
      <c r="N52" s="26"/>
      <c r="O52" s="15">
        <v>4</v>
      </c>
      <c r="P52" s="6"/>
      <c r="Q52" s="15">
        <v>8</v>
      </c>
      <c r="R52" s="15" t="s">
        <v>77</v>
      </c>
      <c r="S52" s="15">
        <f>+VLOOKUP(R52,'QB Masters'!F:H,3,0)</f>
        <v>2.5</v>
      </c>
      <c r="T52" s="16">
        <v>5</v>
      </c>
      <c r="U52" s="15" t="s">
        <v>75</v>
      </c>
      <c r="V52" s="15" t="s">
        <v>75</v>
      </c>
      <c r="W52" s="16" t="s">
        <v>265</v>
      </c>
    </row>
    <row r="53" spans="1:23" ht="33.75" hidden="1" customHeight="1" x14ac:dyDescent="0.25">
      <c r="A53" s="15">
        <f t="shared" si="1"/>
        <v>49</v>
      </c>
      <c r="B53" s="15" t="s">
        <v>104</v>
      </c>
      <c r="C53" s="6" t="s">
        <v>234</v>
      </c>
      <c r="D53" s="6"/>
      <c r="E53" s="26" t="s">
        <v>235</v>
      </c>
      <c r="F53" s="26" t="s">
        <v>236</v>
      </c>
      <c r="G53" s="26" t="s">
        <v>237</v>
      </c>
      <c r="H53" s="26"/>
      <c r="I53" s="26"/>
      <c r="J53" s="26"/>
      <c r="K53" s="26"/>
      <c r="L53" s="26"/>
      <c r="M53" s="26"/>
      <c r="N53" s="26"/>
      <c r="O53" s="15">
        <v>3</v>
      </c>
      <c r="P53" s="6"/>
      <c r="Q53" s="15">
        <v>7</v>
      </c>
      <c r="R53" s="15" t="s">
        <v>77</v>
      </c>
      <c r="S53" s="15">
        <f>+VLOOKUP(R53,'QB Masters'!F:H,3,0)</f>
        <v>2.5</v>
      </c>
      <c r="T53" s="16">
        <v>4</v>
      </c>
      <c r="U53" s="15" t="s">
        <v>63</v>
      </c>
      <c r="V53" s="15" t="s">
        <v>75</v>
      </c>
      <c r="W53" s="16" t="s">
        <v>266</v>
      </c>
    </row>
    <row r="54" spans="1:23" ht="33.75" hidden="1" customHeight="1" x14ac:dyDescent="0.25">
      <c r="A54" s="15">
        <f t="shared" si="1"/>
        <v>50</v>
      </c>
      <c r="B54" s="15" t="s">
        <v>104</v>
      </c>
      <c r="C54" s="6" t="s">
        <v>238</v>
      </c>
      <c r="D54" s="6"/>
      <c r="E54" s="26" t="b">
        <v>1</v>
      </c>
      <c r="F54" s="26" t="b">
        <v>0</v>
      </c>
      <c r="G54" s="26"/>
      <c r="H54" s="26"/>
      <c r="I54" s="26"/>
      <c r="J54" s="26"/>
      <c r="K54" s="26"/>
      <c r="L54" s="26"/>
      <c r="M54" s="26"/>
      <c r="N54" s="26"/>
      <c r="O54" s="15">
        <v>2</v>
      </c>
      <c r="P54" s="6"/>
      <c r="Q54" s="15">
        <v>1</v>
      </c>
      <c r="R54" s="15" t="s">
        <v>62</v>
      </c>
      <c r="S54" s="15">
        <f>+VLOOKUP(R54,'QB Masters'!F:H,3,0)</f>
        <v>0.5</v>
      </c>
      <c r="T54" s="16">
        <v>2</v>
      </c>
      <c r="U54" s="15" t="s">
        <v>63</v>
      </c>
      <c r="V54" s="15" t="s">
        <v>75</v>
      </c>
      <c r="W54" s="16" t="s">
        <v>266</v>
      </c>
    </row>
  </sheetData>
  <autoFilter ref="B1:W54" xr:uid="{CF1C767E-5F06-40E8-BDA2-1E44DBF0D1D4}">
    <filterColumn colId="21">
      <filters>
        <filter val="User 1"/>
      </filters>
    </filterColumn>
  </autoFilter>
  <mergeCells count="1">
    <mergeCell ref="E3:N3"/>
  </mergeCells>
  <phoneticPr fontId="17" type="noConversion"/>
  <dataValidations count="3">
    <dataValidation type="list" allowBlank="1" showInputMessage="1" showErrorMessage="1" sqref="R5:R54" xr:uid="{F71803C9-CC2F-4003-A4AC-9198AD72A489}">
      <formula1>"Easy,Medium,Hard"</formula1>
    </dataValidation>
    <dataValidation type="list" allowBlank="1" showInputMessage="1" showErrorMessage="1" sqref="U5:V54" xr:uid="{299F7078-6C0C-44EA-BFBD-51F13A610F08}">
      <formula1>"Yes,No"</formula1>
    </dataValidation>
    <dataValidation type="list" allowBlank="1" showInputMessage="1" showErrorMessage="1" sqref="B5:B54" xr:uid="{883EB860-0937-443F-8AB3-D5A8E31ADBFC}">
      <formula1>TopicList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5FE4-4765-4A06-8F9B-300F983BBBBC}">
  <dimension ref="A1:T29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cols>
    <col min="1" max="1" width="7.28515625" style="3" customWidth="1"/>
    <col min="2" max="2" width="9" style="3" customWidth="1"/>
    <col min="3" max="3" width="18.5703125" style="3" customWidth="1"/>
    <col min="4" max="4" width="59" style="3" customWidth="1"/>
    <col min="5" max="14" width="13" style="9" customWidth="1"/>
    <col min="15" max="15" width="10.5703125" style="9" customWidth="1"/>
    <col min="16" max="16" width="24.140625" style="3" customWidth="1"/>
    <col min="17" max="17" width="20" style="9" customWidth="1"/>
    <col min="18" max="18" width="20" style="3" hidden="1" customWidth="1"/>
  </cols>
  <sheetData>
    <row r="1" spans="1:20" ht="33" customHeight="1" thickBot="1" x14ac:dyDescent="0.3">
      <c r="A1" s="1" t="s">
        <v>58</v>
      </c>
      <c r="B1" s="1"/>
      <c r="C1" s="1"/>
      <c r="D1" s="29" t="s">
        <v>239</v>
      </c>
      <c r="E1" s="20"/>
      <c r="F1" s="22" t="s">
        <v>66</v>
      </c>
      <c r="G1" s="20"/>
      <c r="H1" s="19">
        <f>MAX(A:A)</f>
        <v>7</v>
      </c>
      <c r="I1" s="21"/>
      <c r="J1" s="22" t="s">
        <v>67</v>
      </c>
      <c r="K1" s="21"/>
      <c r="L1" s="19">
        <f>SUM(Q:Q)</f>
        <v>17</v>
      </c>
      <c r="M1" s="20"/>
      <c r="N1" s="22" t="s">
        <v>69</v>
      </c>
      <c r="O1" s="21"/>
      <c r="P1" s="23">
        <f>SUM(R:R)+5</f>
        <v>26</v>
      </c>
      <c r="Q1" s="20"/>
      <c r="R1" s="2"/>
      <c r="S1" s="33" t="s">
        <v>265</v>
      </c>
      <c r="T1" s="33">
        <f>+COUNTIF($S$5:$S$32,S1)</f>
        <v>4</v>
      </c>
    </row>
    <row r="2" spans="1:20" ht="32.25" customHeight="1" x14ac:dyDescent="0.25">
      <c r="B2" s="34" t="s">
        <v>271</v>
      </c>
      <c r="C2" s="14"/>
      <c r="E2" s="25">
        <v>5</v>
      </c>
      <c r="F2" s="25">
        <v>6</v>
      </c>
      <c r="G2" s="25">
        <v>7</v>
      </c>
      <c r="H2" s="25">
        <v>8</v>
      </c>
      <c r="I2" s="25">
        <v>9</v>
      </c>
      <c r="J2" s="25">
        <v>10</v>
      </c>
      <c r="K2" s="25">
        <v>11</v>
      </c>
      <c r="L2" s="25">
        <v>12</v>
      </c>
      <c r="M2" s="25">
        <v>13</v>
      </c>
      <c r="N2" s="25">
        <v>14</v>
      </c>
      <c r="S2" s="33" t="s">
        <v>266</v>
      </c>
      <c r="T2" s="33">
        <f t="shared" ref="T2:T3" si="0">+COUNTIF($S$5:$S$32,S2)</f>
        <v>1</v>
      </c>
    </row>
    <row r="3" spans="1:20" ht="66" x14ac:dyDescent="0.25">
      <c r="A3" s="13" t="s">
        <v>57</v>
      </c>
      <c r="B3" s="13" t="s">
        <v>270</v>
      </c>
      <c r="C3" s="13" t="s">
        <v>54</v>
      </c>
      <c r="D3" s="13" t="s">
        <v>33</v>
      </c>
      <c r="E3" s="30" t="s">
        <v>38</v>
      </c>
      <c r="F3" s="31"/>
      <c r="G3" s="31"/>
      <c r="H3" s="31"/>
      <c r="I3" s="31"/>
      <c r="J3" s="31"/>
      <c r="K3" s="31"/>
      <c r="L3" s="31"/>
      <c r="M3" s="31"/>
      <c r="N3" s="32"/>
      <c r="O3" s="13" t="s">
        <v>59</v>
      </c>
      <c r="P3" s="13" t="s">
        <v>36</v>
      </c>
      <c r="Q3" s="13" t="s">
        <v>45</v>
      </c>
      <c r="R3" s="13" t="s">
        <v>68</v>
      </c>
      <c r="S3" s="33" t="s">
        <v>267</v>
      </c>
      <c r="T3" s="33">
        <f t="shared" si="0"/>
        <v>2</v>
      </c>
    </row>
    <row r="4" spans="1:20" ht="16.5" x14ac:dyDescent="0.25">
      <c r="A4" s="10"/>
      <c r="B4" s="18" t="s">
        <v>64</v>
      </c>
      <c r="C4" s="10"/>
      <c r="D4" s="10"/>
      <c r="E4" s="10" t="s">
        <v>39</v>
      </c>
      <c r="F4" s="10" t="s">
        <v>40</v>
      </c>
      <c r="G4" s="10">
        <v>3</v>
      </c>
      <c r="H4" s="10">
        <v>4</v>
      </c>
      <c r="I4" s="10">
        <v>5</v>
      </c>
      <c r="J4" s="10">
        <v>6</v>
      </c>
      <c r="K4" s="10">
        <v>7</v>
      </c>
      <c r="L4" s="10">
        <v>8</v>
      </c>
      <c r="M4" s="10">
        <v>9</v>
      </c>
      <c r="N4" s="10">
        <v>10</v>
      </c>
      <c r="O4" s="10"/>
      <c r="P4" s="10"/>
      <c r="Q4" s="10"/>
      <c r="R4" s="10"/>
    </row>
    <row r="5" spans="1:20" ht="33.75" customHeight="1" x14ac:dyDescent="0.25">
      <c r="A5" s="15">
        <f>+IF(LEN(D5)&gt;5,1,"-")</f>
        <v>1</v>
      </c>
      <c r="B5" s="17">
        <v>1</v>
      </c>
      <c r="C5" s="15" t="s">
        <v>70</v>
      </c>
      <c r="D5" s="6" t="str">
        <f>IFERROR(VLOOKUP(B5,'QB Reserve'!A:C,3,0),"-")</f>
        <v>What is the decimal point of 5 in 5.05 number? Select your answer from the below list</v>
      </c>
      <c r="E5" s="26">
        <f>IFERROR(VLOOKUP($B5,'QB Reserve'!$A:$N,E$2,0),"-")</f>
        <v>1</v>
      </c>
      <c r="F5" s="26">
        <f>IFERROR(VLOOKUP($B5,'QB Reserve'!$A:$N,F$2,0),"-")</f>
        <v>2</v>
      </c>
      <c r="G5" s="26">
        <f>IFERROR(VLOOKUP($B5,'QB Reserve'!$A:$N,G$2,0),"-")</f>
        <v>0</v>
      </c>
      <c r="H5" s="26">
        <f>IFERROR(VLOOKUP($B5,'QB Reserve'!$A:$N,H$2,0),"-")</f>
        <v>0</v>
      </c>
      <c r="I5" s="26">
        <f>IFERROR(VLOOKUP($B5,'QB Reserve'!$A:$N,I$2,0),"-")</f>
        <v>0</v>
      </c>
      <c r="J5" s="26">
        <f>IFERROR(VLOOKUP($B5,'QB Reserve'!$A:$N,J$2,0),"-")</f>
        <v>0</v>
      </c>
      <c r="K5" s="26">
        <f>IFERROR(VLOOKUP($B5,'QB Reserve'!$A:$N,K$2,0),"-")</f>
        <v>0</v>
      </c>
      <c r="L5" s="26">
        <f>IFERROR(VLOOKUP($B5,'QB Reserve'!$A:$N,L$2,0),"-")</f>
        <v>0</v>
      </c>
      <c r="M5" s="26">
        <f>IFERROR(VLOOKUP($B5,'QB Reserve'!$A:$N,M$2,0),"-")</f>
        <v>0</v>
      </c>
      <c r="N5" s="26">
        <f>IFERROR(VLOOKUP($B5,'QB Reserve'!$A:$N,N$2,0),"-")</f>
        <v>0</v>
      </c>
      <c r="O5" s="15"/>
      <c r="P5" s="24" t="str">
        <f>IFERROR(VLOOKUP(B5,'QB Reserve'!A:P,16,0),"-")</f>
        <v>Count numbers from right to left</v>
      </c>
      <c r="Q5" s="15">
        <f>IFERROR(VLOOKUP(B5,'QB Reserve'!A:Q,17,0),"-")</f>
        <v>1</v>
      </c>
      <c r="R5" s="16">
        <f>IFERROR(VLOOKUP(B5,'QB Reserve'!A:T,20,0),"-")</f>
        <v>1</v>
      </c>
      <c r="S5" t="str">
        <f>+VLOOKUP(B5,'QB Reserve'!A:W,23,0)</f>
        <v>User 1</v>
      </c>
    </row>
    <row r="6" spans="1:20" ht="33.75" customHeight="1" x14ac:dyDescent="0.25">
      <c r="A6" s="15">
        <f>+IF(LEN(D6)&gt;5,A5+1,"-")</f>
        <v>2</v>
      </c>
      <c r="B6" s="17">
        <v>3</v>
      </c>
      <c r="C6" s="15" t="str">
        <f>IFERROR(VLOOKUP(B6,'QB Reserve'!A:B,2,0),"-")</f>
        <v>Maths - Measurement</v>
      </c>
      <c r="D6" s="6" t="str">
        <f>IFERROR(VLOOKUP(B6,'QB Reserve'!A:C,3,0),"-")</f>
        <v>The length and breadth of a rectangle are respectively 5 and 2. Find area?</v>
      </c>
      <c r="E6" s="26">
        <f>IFERROR(VLOOKUP($B6,'QB Reserve'!$A:$N,E$2,0),"-")</f>
        <v>10</v>
      </c>
      <c r="F6" s="26">
        <f>IFERROR(VLOOKUP($B6,'QB Reserve'!$A:$N,F$2,0),"-")</f>
        <v>20</v>
      </c>
      <c r="G6" s="26">
        <f>IFERROR(VLOOKUP($B6,'QB Reserve'!$A:$N,G$2,0),"-")</f>
        <v>5</v>
      </c>
      <c r="H6" s="26">
        <f>IFERROR(VLOOKUP($B6,'QB Reserve'!$A:$N,H$2,0),"-")</f>
        <v>6</v>
      </c>
      <c r="I6" s="26">
        <f>IFERROR(VLOOKUP($B6,'QB Reserve'!$A:$N,I$2,0),"-")</f>
        <v>0</v>
      </c>
      <c r="J6" s="26">
        <f>IFERROR(VLOOKUP($B6,'QB Reserve'!$A:$N,J$2,0),"-")</f>
        <v>0</v>
      </c>
      <c r="K6" s="26">
        <f>IFERROR(VLOOKUP($B6,'QB Reserve'!$A:$N,K$2,0),"-")</f>
        <v>0</v>
      </c>
      <c r="L6" s="26">
        <f>IFERROR(VLOOKUP($B6,'QB Reserve'!$A:$N,L$2,0),"-")</f>
        <v>0</v>
      </c>
      <c r="M6" s="26">
        <f>IFERROR(VLOOKUP($B6,'QB Reserve'!$A:$N,M$2,0),"-")</f>
        <v>0</v>
      </c>
      <c r="N6" s="26">
        <f>IFERROR(VLOOKUP($B6,'QB Reserve'!$A:$N,N$2,0),"-")</f>
        <v>0</v>
      </c>
      <c r="O6" s="15"/>
      <c r="P6" s="24" t="str">
        <f>IFERROR(VLOOKUP(B6,'QB Reserve'!A:P,16,0),"-")</f>
        <v>Area = l*b</v>
      </c>
      <c r="Q6" s="15">
        <f>IFERROR(VLOOKUP(B6,'QB Reserve'!A:Q,17,0),"-")</f>
        <v>3</v>
      </c>
      <c r="R6" s="16">
        <f>IFERROR(VLOOKUP(B6,'QB Reserve'!A:T,20,0),"-")</f>
        <v>2</v>
      </c>
      <c r="S6" t="str">
        <f>+VLOOKUP(B6,'QB Reserve'!A:W,23,0)</f>
        <v>User 1</v>
      </c>
    </row>
    <row r="7" spans="1:20" ht="33.75" customHeight="1" x14ac:dyDescent="0.25">
      <c r="A7" s="15">
        <f t="shared" ref="A7:A29" si="1">+IF(LEN(D7)&gt;5,A6+1,"-")</f>
        <v>3</v>
      </c>
      <c r="B7" s="17">
        <v>6</v>
      </c>
      <c r="C7" s="15" t="str">
        <f>IFERROR(VLOOKUP(B7,'QB Reserve'!A:B,2,0),"-")</f>
        <v>Maths - Addition/ Subtraction</v>
      </c>
      <c r="D7" s="6" t="str">
        <f>IFERROR(VLOOKUP(B7,'QB Reserve'!A:C,3,0),"-")</f>
        <v>Raju has 10 cookies and Aman has 25. They give their cookies to Aryan. How many cookies does Aryan have now?</v>
      </c>
      <c r="E7" s="26">
        <f>IFERROR(VLOOKUP($B7,'QB Reserve'!$A:$N,E$2,0),"-")</f>
        <v>35</v>
      </c>
      <c r="F7" s="26">
        <f>IFERROR(VLOOKUP($B7,'QB Reserve'!$A:$N,F$2,0),"-")</f>
        <v>30</v>
      </c>
      <c r="G7" s="26">
        <f>IFERROR(VLOOKUP($B7,'QB Reserve'!$A:$N,G$2,0),"-")</f>
        <v>0</v>
      </c>
      <c r="H7" s="26">
        <f>IFERROR(VLOOKUP($B7,'QB Reserve'!$A:$N,H$2,0),"-")</f>
        <v>0</v>
      </c>
      <c r="I7" s="26">
        <f>IFERROR(VLOOKUP($B7,'QB Reserve'!$A:$N,I$2,0),"-")</f>
        <v>0</v>
      </c>
      <c r="J7" s="26">
        <f>IFERROR(VLOOKUP($B7,'QB Reserve'!$A:$N,J$2,0),"-")</f>
        <v>0</v>
      </c>
      <c r="K7" s="26">
        <f>IFERROR(VLOOKUP($B7,'QB Reserve'!$A:$N,K$2,0),"-")</f>
        <v>0</v>
      </c>
      <c r="L7" s="26">
        <f>IFERROR(VLOOKUP($B7,'QB Reserve'!$A:$N,L$2,0),"-")</f>
        <v>0</v>
      </c>
      <c r="M7" s="26">
        <f>IFERROR(VLOOKUP($B7,'QB Reserve'!$A:$N,M$2,0),"-")</f>
        <v>0</v>
      </c>
      <c r="N7" s="26">
        <f>IFERROR(VLOOKUP($B7,'QB Reserve'!$A:$N,N$2,0),"-")</f>
        <v>0</v>
      </c>
      <c r="O7" s="15"/>
      <c r="P7" s="24" t="str">
        <f>IFERROR(VLOOKUP(B7,'QB Reserve'!A:P,16,0),"-")</f>
        <v>Assume variables and add</v>
      </c>
      <c r="Q7" s="15">
        <f>IFERROR(VLOOKUP(B7,'QB Reserve'!A:Q,17,0),"-")</f>
        <v>2</v>
      </c>
      <c r="R7" s="16">
        <f>IFERROR(VLOOKUP(B7,'QB Reserve'!A:T,20,0),"-")</f>
        <v>3</v>
      </c>
      <c r="S7" t="str">
        <f>+VLOOKUP(B7,'QB Reserve'!A:W,23,0)</f>
        <v>User 3</v>
      </c>
    </row>
    <row r="8" spans="1:20" ht="33.75" customHeight="1" x14ac:dyDescent="0.25">
      <c r="A8" s="15">
        <f t="shared" si="1"/>
        <v>4</v>
      </c>
      <c r="B8" s="17">
        <v>2</v>
      </c>
      <c r="C8" s="15" t="str">
        <f>IFERROR(VLOOKUP(B8,'QB Reserve'!A:B,2,0),"-")</f>
        <v>Maths - Decimals</v>
      </c>
      <c r="D8" s="6" t="str">
        <f>IFERROR(VLOOKUP(B8,'QB Reserve'!A:C,3,0),"-")</f>
        <v>How many decimal points remain when 5.236 is multiplied with 100</v>
      </c>
      <c r="E8" s="26">
        <f>IFERROR(VLOOKUP($B8,'QB Reserve'!$A:$N,E$2,0),"-")</f>
        <v>0</v>
      </c>
      <c r="F8" s="26">
        <f>IFERROR(VLOOKUP($B8,'QB Reserve'!$A:$N,F$2,0),"-")</f>
        <v>1</v>
      </c>
      <c r="G8" s="26">
        <f>IFERROR(VLOOKUP($B8,'QB Reserve'!$A:$N,G$2,0),"-")</f>
        <v>2</v>
      </c>
      <c r="H8" s="26">
        <f>IFERROR(VLOOKUP($B8,'QB Reserve'!$A:$N,H$2,0),"-")</f>
        <v>3</v>
      </c>
      <c r="I8" s="26">
        <f>IFERROR(VLOOKUP($B8,'QB Reserve'!$A:$N,I$2,0),"-")</f>
        <v>0</v>
      </c>
      <c r="J8" s="26">
        <f>IFERROR(VLOOKUP($B8,'QB Reserve'!$A:$N,J$2,0),"-")</f>
        <v>0</v>
      </c>
      <c r="K8" s="26">
        <f>IFERROR(VLOOKUP($B8,'QB Reserve'!$A:$N,K$2,0),"-")</f>
        <v>0</v>
      </c>
      <c r="L8" s="26">
        <f>IFERROR(VLOOKUP($B8,'QB Reserve'!$A:$N,L$2,0),"-")</f>
        <v>0</v>
      </c>
      <c r="M8" s="26">
        <f>IFERROR(VLOOKUP($B8,'QB Reserve'!$A:$N,M$2,0),"-")</f>
        <v>0</v>
      </c>
      <c r="N8" s="26">
        <f>IFERROR(VLOOKUP($B8,'QB Reserve'!$A:$N,N$2,0),"-")</f>
        <v>0</v>
      </c>
      <c r="O8" s="15"/>
      <c r="P8" s="24" t="str">
        <f>IFERROR(VLOOKUP(B8,'QB Reserve'!A:P,16,0),"-")</f>
        <v>Multiply by 100 and check number of digits after decimal point</v>
      </c>
      <c r="Q8" s="15">
        <f>IFERROR(VLOOKUP(B8,'QB Reserve'!A:Q,17,0),"-")</f>
        <v>2</v>
      </c>
      <c r="R8" s="16" t="str">
        <f>IFERROR(VLOOKUP(B8,'QB Reserve'!A:T,20,0),"-")</f>
        <v>1 mins</v>
      </c>
      <c r="S8" t="str">
        <f>+VLOOKUP(B8,'QB Reserve'!A:W,23,0)</f>
        <v>User 2</v>
      </c>
    </row>
    <row r="9" spans="1:20" ht="33.75" customHeight="1" x14ac:dyDescent="0.25">
      <c r="A9" s="15">
        <f t="shared" si="1"/>
        <v>5</v>
      </c>
      <c r="B9" s="17">
        <v>5</v>
      </c>
      <c r="C9" s="15" t="str">
        <f>IFERROR(VLOOKUP(B9,'QB Reserve'!A:B,2,0),"-")</f>
        <v>Maths - Addition/ Subtraction</v>
      </c>
      <c r="D9" s="6" t="str">
        <f>IFERROR(VLOOKUP(B9,'QB Reserve'!A:C,3,0),"-")</f>
        <v>What will be the result if 256 is added to 200?</v>
      </c>
      <c r="E9" s="26">
        <f>IFERROR(VLOOKUP($B9,'QB Reserve'!$A:$N,E$2,0),"-")</f>
        <v>356</v>
      </c>
      <c r="F9" s="26">
        <f>IFERROR(VLOOKUP($B9,'QB Reserve'!$A:$N,F$2,0),"-")</f>
        <v>466</v>
      </c>
      <c r="G9" s="26">
        <f>IFERROR(VLOOKUP($B9,'QB Reserve'!$A:$N,G$2,0),"-")</f>
        <v>456</v>
      </c>
      <c r="H9" s="26">
        <f>IFERROR(VLOOKUP($B9,'QB Reserve'!$A:$N,H$2,0),"-")</f>
        <v>0</v>
      </c>
      <c r="I9" s="26">
        <f>IFERROR(VLOOKUP($B9,'QB Reserve'!$A:$N,I$2,0),"-")</f>
        <v>0</v>
      </c>
      <c r="J9" s="26">
        <f>IFERROR(VLOOKUP($B9,'QB Reserve'!$A:$N,J$2,0),"-")</f>
        <v>0</v>
      </c>
      <c r="K9" s="26">
        <f>IFERROR(VLOOKUP($B9,'QB Reserve'!$A:$N,K$2,0),"-")</f>
        <v>0</v>
      </c>
      <c r="L9" s="26">
        <f>IFERROR(VLOOKUP($B9,'QB Reserve'!$A:$N,L$2,0),"-")</f>
        <v>0</v>
      </c>
      <c r="M9" s="26">
        <f>IFERROR(VLOOKUP($B9,'QB Reserve'!$A:$N,M$2,0),"-")</f>
        <v>0</v>
      </c>
      <c r="N9" s="26">
        <f>IFERROR(VLOOKUP($B9,'QB Reserve'!$A:$N,N$2,0),"-")</f>
        <v>0</v>
      </c>
      <c r="O9" s="15"/>
      <c r="P9" s="24">
        <f>IFERROR(VLOOKUP(B9,'QB Reserve'!A:P,16,0),"-")</f>
        <v>0</v>
      </c>
      <c r="Q9" s="15">
        <f>IFERROR(VLOOKUP(B9,'QB Reserve'!A:Q,17,0),"-")</f>
        <v>3</v>
      </c>
      <c r="R9" s="16">
        <f>IFERROR(VLOOKUP(B9,'QB Reserve'!A:T,20,0),"-")</f>
        <v>1</v>
      </c>
      <c r="S9" t="str">
        <f>+VLOOKUP(B9,'QB Reserve'!A:W,23,0)</f>
        <v>User 1</v>
      </c>
    </row>
    <row r="10" spans="1:20" ht="33.75" customHeight="1" x14ac:dyDescent="0.25">
      <c r="A10" s="15">
        <f t="shared" si="1"/>
        <v>6</v>
      </c>
      <c r="B10" s="17">
        <v>8</v>
      </c>
      <c r="C10" s="15" t="str">
        <f>IFERROR(VLOOKUP(B10,'QB Reserve'!A:B,2,0),"-")</f>
        <v>Maths - Time</v>
      </c>
      <c r="D10" s="6" t="str">
        <f>IFERROR(VLOOKUP(B10,'QB Reserve'!A:C,3,0),"-")</f>
        <v>Convert 1 hour and 15 minutes into minutes</v>
      </c>
      <c r="E10" s="26">
        <f>IFERROR(VLOOKUP($B10,'QB Reserve'!$A:$N,E$2,0),"-")</f>
        <v>75</v>
      </c>
      <c r="F10" s="26">
        <f>IFERROR(VLOOKUP($B10,'QB Reserve'!$A:$N,F$2,0),"-")</f>
        <v>65</v>
      </c>
      <c r="G10" s="26">
        <f>IFERROR(VLOOKUP($B10,'QB Reserve'!$A:$N,G$2,0),"-")</f>
        <v>115</v>
      </c>
      <c r="H10" s="26">
        <f>IFERROR(VLOOKUP($B10,'QB Reserve'!$A:$N,H$2,0),"-")</f>
        <v>0</v>
      </c>
      <c r="I10" s="26">
        <f>IFERROR(VLOOKUP($B10,'QB Reserve'!$A:$N,I$2,0),"-")</f>
        <v>0</v>
      </c>
      <c r="J10" s="26">
        <f>IFERROR(VLOOKUP($B10,'QB Reserve'!$A:$N,J$2,0),"-")</f>
        <v>0</v>
      </c>
      <c r="K10" s="26">
        <f>IFERROR(VLOOKUP($B10,'QB Reserve'!$A:$N,K$2,0),"-")</f>
        <v>0</v>
      </c>
      <c r="L10" s="26">
        <f>IFERROR(VLOOKUP($B10,'QB Reserve'!$A:$N,L$2,0),"-")</f>
        <v>0</v>
      </c>
      <c r="M10" s="26">
        <f>IFERROR(VLOOKUP($B10,'QB Reserve'!$A:$N,M$2,0),"-")</f>
        <v>0</v>
      </c>
      <c r="N10" s="26">
        <f>IFERROR(VLOOKUP($B10,'QB Reserve'!$A:$N,N$2,0),"-")</f>
        <v>0</v>
      </c>
      <c r="O10" s="15"/>
      <c r="P10" s="24" t="str">
        <f>IFERROR(VLOOKUP(B10,'QB Reserve'!A:P,16,0),"-")</f>
        <v>1 hour is 60 minutes</v>
      </c>
      <c r="Q10" s="15">
        <f>IFERROR(VLOOKUP(B10,'QB Reserve'!A:Q,17,0),"-")</f>
        <v>4</v>
      </c>
      <c r="R10" s="16">
        <f>IFERROR(VLOOKUP(B10,'QB Reserve'!A:T,20,0),"-")</f>
        <v>6</v>
      </c>
      <c r="S10" t="str">
        <f>+VLOOKUP(B10,'QB Reserve'!A:W,23,0)</f>
        <v>User 1</v>
      </c>
    </row>
    <row r="11" spans="1:20" ht="33.75" customHeight="1" x14ac:dyDescent="0.25">
      <c r="A11" s="15">
        <f t="shared" si="1"/>
        <v>7</v>
      </c>
      <c r="B11" s="17">
        <v>9</v>
      </c>
      <c r="C11" s="15" t="str">
        <f>IFERROR(VLOOKUP(B11,'QB Reserve'!A:B,2,0),"-")</f>
        <v>Maths - Time</v>
      </c>
      <c r="D11" s="6" t="str">
        <f>IFERROR(VLOOKUP(B11,'QB Reserve'!A:C,3,0),"-")</f>
        <v>How many seconds are in 1 hour?</v>
      </c>
      <c r="E11" s="26">
        <f>IFERROR(VLOOKUP($B11,'QB Reserve'!$A:$N,E$2,0),"-")</f>
        <v>3000</v>
      </c>
      <c r="F11" s="26">
        <f>IFERROR(VLOOKUP($B11,'QB Reserve'!$A:$N,F$2,0),"-")</f>
        <v>3600</v>
      </c>
      <c r="G11" s="26">
        <f>IFERROR(VLOOKUP($B11,'QB Reserve'!$A:$N,G$2,0),"-")</f>
        <v>0</v>
      </c>
      <c r="H11" s="26">
        <f>IFERROR(VLOOKUP($B11,'QB Reserve'!$A:$N,H$2,0),"-")</f>
        <v>0</v>
      </c>
      <c r="I11" s="26">
        <f>IFERROR(VLOOKUP($B11,'QB Reserve'!$A:$N,I$2,0),"-")</f>
        <v>0</v>
      </c>
      <c r="J11" s="26">
        <f>IFERROR(VLOOKUP($B11,'QB Reserve'!$A:$N,J$2,0),"-")</f>
        <v>0</v>
      </c>
      <c r="K11" s="26">
        <f>IFERROR(VLOOKUP($B11,'QB Reserve'!$A:$N,K$2,0),"-")</f>
        <v>0</v>
      </c>
      <c r="L11" s="26">
        <f>IFERROR(VLOOKUP($B11,'QB Reserve'!$A:$N,L$2,0),"-")</f>
        <v>0</v>
      </c>
      <c r="M11" s="26">
        <f>IFERROR(VLOOKUP($B11,'QB Reserve'!$A:$N,M$2,0),"-")</f>
        <v>0</v>
      </c>
      <c r="N11" s="26">
        <f>IFERROR(VLOOKUP($B11,'QB Reserve'!$A:$N,N$2,0),"-")</f>
        <v>0</v>
      </c>
      <c r="O11" s="15"/>
      <c r="P11" s="24">
        <f>IFERROR(VLOOKUP(B11,'QB Reserve'!A:P,16,0),"-")</f>
        <v>0</v>
      </c>
      <c r="Q11" s="15">
        <f>IFERROR(VLOOKUP(B11,'QB Reserve'!A:Q,17,0),"-")</f>
        <v>2</v>
      </c>
      <c r="R11" s="16">
        <f>IFERROR(VLOOKUP(B11,'QB Reserve'!A:T,20,0),"-")</f>
        <v>8</v>
      </c>
      <c r="S11" t="str">
        <f>+VLOOKUP(B11,'QB Reserve'!A:W,23,0)</f>
        <v>User 3</v>
      </c>
    </row>
    <row r="12" spans="1:20" ht="33.75" hidden="1" customHeight="1" x14ac:dyDescent="0.25">
      <c r="A12" s="15" t="str">
        <f t="shared" si="1"/>
        <v>-</v>
      </c>
      <c r="B12" s="17"/>
      <c r="C12" s="15" t="str">
        <f>IFERROR(VLOOKUP(B12,'QB Reserve'!A:B,2,0),"-")</f>
        <v>-</v>
      </c>
      <c r="D12" s="6" t="str">
        <f>IFERROR(VLOOKUP(B12,'QB Reserve'!A:C,3,0),"-")</f>
        <v>-</v>
      </c>
      <c r="E12" s="26" t="str">
        <f>IFERROR(VLOOKUP($B12,'QB Reserve'!$A:$N,E$2,0),"-")</f>
        <v>-</v>
      </c>
      <c r="F12" s="26" t="str">
        <f>IFERROR(VLOOKUP($B12,'QB Reserve'!$A:$N,F$2,0),"-")</f>
        <v>-</v>
      </c>
      <c r="G12" s="26" t="str">
        <f>IFERROR(VLOOKUP($B12,'QB Reserve'!$A:$N,G$2,0),"-")</f>
        <v>-</v>
      </c>
      <c r="H12" s="26" t="str">
        <f>IFERROR(VLOOKUP($B12,'QB Reserve'!$A:$N,H$2,0),"-")</f>
        <v>-</v>
      </c>
      <c r="I12" s="26" t="str">
        <f>IFERROR(VLOOKUP($B12,'QB Reserve'!$A:$N,I$2,0),"-")</f>
        <v>-</v>
      </c>
      <c r="J12" s="26" t="str">
        <f>IFERROR(VLOOKUP($B12,'QB Reserve'!$A:$N,J$2,0),"-")</f>
        <v>-</v>
      </c>
      <c r="K12" s="26" t="str">
        <f>IFERROR(VLOOKUP($B12,'QB Reserve'!$A:$N,K$2,0),"-")</f>
        <v>-</v>
      </c>
      <c r="L12" s="26" t="str">
        <f>IFERROR(VLOOKUP($B12,'QB Reserve'!$A:$N,L$2,0),"-")</f>
        <v>-</v>
      </c>
      <c r="M12" s="26" t="str">
        <f>IFERROR(VLOOKUP($B12,'QB Reserve'!$A:$N,M$2,0),"-")</f>
        <v>-</v>
      </c>
      <c r="N12" s="26" t="str">
        <f>IFERROR(VLOOKUP($B12,'QB Reserve'!$A:$N,N$2,0),"-")</f>
        <v>-</v>
      </c>
      <c r="O12" s="15"/>
      <c r="P12" s="24" t="str">
        <f>IFERROR(VLOOKUP(B12,'QB Reserve'!A:P,16,0),"-")</f>
        <v>-</v>
      </c>
      <c r="Q12" s="15" t="str">
        <f>IFERROR(VLOOKUP(B12,'QB Reserve'!A:Q,17,0),"-")</f>
        <v>-</v>
      </c>
      <c r="R12" s="16" t="str">
        <f>IFERROR(VLOOKUP(B12,'QB Reserve'!A:T,20,0),"-")</f>
        <v>-</v>
      </c>
    </row>
    <row r="13" spans="1:20" ht="33.75" hidden="1" customHeight="1" x14ac:dyDescent="0.25">
      <c r="A13" s="15" t="str">
        <f t="shared" si="1"/>
        <v>-</v>
      </c>
      <c r="B13" s="17"/>
      <c r="C13" s="15" t="str">
        <f>IFERROR(VLOOKUP(B13,'QB Reserve'!A:B,2,0),"-")</f>
        <v>-</v>
      </c>
      <c r="D13" s="6" t="str">
        <f>IFERROR(VLOOKUP(B13,'QB Reserve'!A:C,3,0),"-")</f>
        <v>-</v>
      </c>
      <c r="E13" s="26" t="str">
        <f>IFERROR(VLOOKUP($B13,'QB Reserve'!$A:$N,E$2,0),"-")</f>
        <v>-</v>
      </c>
      <c r="F13" s="26" t="str">
        <f>IFERROR(VLOOKUP($B13,'QB Reserve'!$A:$N,F$2,0),"-")</f>
        <v>-</v>
      </c>
      <c r="G13" s="26" t="str">
        <f>IFERROR(VLOOKUP($B13,'QB Reserve'!$A:$N,G$2,0),"-")</f>
        <v>-</v>
      </c>
      <c r="H13" s="26" t="str">
        <f>IFERROR(VLOOKUP($B13,'QB Reserve'!$A:$N,H$2,0),"-")</f>
        <v>-</v>
      </c>
      <c r="I13" s="26" t="str">
        <f>IFERROR(VLOOKUP($B13,'QB Reserve'!$A:$N,I$2,0),"-")</f>
        <v>-</v>
      </c>
      <c r="J13" s="26" t="str">
        <f>IFERROR(VLOOKUP($B13,'QB Reserve'!$A:$N,J$2,0),"-")</f>
        <v>-</v>
      </c>
      <c r="K13" s="26" t="str">
        <f>IFERROR(VLOOKUP($B13,'QB Reserve'!$A:$N,K$2,0),"-")</f>
        <v>-</v>
      </c>
      <c r="L13" s="26" t="str">
        <f>IFERROR(VLOOKUP($B13,'QB Reserve'!$A:$N,L$2,0),"-")</f>
        <v>-</v>
      </c>
      <c r="M13" s="26" t="str">
        <f>IFERROR(VLOOKUP($B13,'QB Reserve'!$A:$N,M$2,0),"-")</f>
        <v>-</v>
      </c>
      <c r="N13" s="26" t="str">
        <f>IFERROR(VLOOKUP($B13,'QB Reserve'!$A:$N,N$2,0),"-")</f>
        <v>-</v>
      </c>
      <c r="O13" s="15"/>
      <c r="P13" s="24" t="str">
        <f>IFERROR(VLOOKUP(B13,'QB Reserve'!A:P,16,0),"-")</f>
        <v>-</v>
      </c>
      <c r="Q13" s="15" t="str">
        <f>IFERROR(VLOOKUP(B13,'QB Reserve'!A:Q,17,0),"-")</f>
        <v>-</v>
      </c>
      <c r="R13" s="16" t="str">
        <f>IFERROR(VLOOKUP(B13,'QB Reserve'!A:T,20,0),"-")</f>
        <v>-</v>
      </c>
    </row>
    <row r="14" spans="1:20" ht="33.75" hidden="1" customHeight="1" x14ac:dyDescent="0.25">
      <c r="A14" s="15" t="str">
        <f t="shared" si="1"/>
        <v>-</v>
      </c>
      <c r="B14" s="17"/>
      <c r="C14" s="15" t="str">
        <f>IFERROR(VLOOKUP(B14,'QB Reserve'!A:B,2,0),"-")</f>
        <v>-</v>
      </c>
      <c r="D14" s="6" t="str">
        <f>IFERROR(VLOOKUP(B14,'QB Reserve'!A:C,3,0),"-")</f>
        <v>-</v>
      </c>
      <c r="E14" s="26" t="str">
        <f>IFERROR(VLOOKUP($B14,'QB Reserve'!$A:$N,E$2,0),"-")</f>
        <v>-</v>
      </c>
      <c r="F14" s="26" t="str">
        <f>IFERROR(VLOOKUP($B14,'QB Reserve'!$A:$N,F$2,0),"-")</f>
        <v>-</v>
      </c>
      <c r="G14" s="26" t="str">
        <f>IFERROR(VLOOKUP($B14,'QB Reserve'!$A:$N,G$2,0),"-")</f>
        <v>-</v>
      </c>
      <c r="H14" s="26" t="str">
        <f>IFERROR(VLOOKUP($B14,'QB Reserve'!$A:$N,H$2,0),"-")</f>
        <v>-</v>
      </c>
      <c r="I14" s="26" t="str">
        <f>IFERROR(VLOOKUP($B14,'QB Reserve'!$A:$N,I$2,0),"-")</f>
        <v>-</v>
      </c>
      <c r="J14" s="26" t="str">
        <f>IFERROR(VLOOKUP($B14,'QB Reserve'!$A:$N,J$2,0),"-")</f>
        <v>-</v>
      </c>
      <c r="K14" s="26" t="str">
        <f>IFERROR(VLOOKUP($B14,'QB Reserve'!$A:$N,K$2,0),"-")</f>
        <v>-</v>
      </c>
      <c r="L14" s="26" t="str">
        <f>IFERROR(VLOOKUP($B14,'QB Reserve'!$A:$N,L$2,0),"-")</f>
        <v>-</v>
      </c>
      <c r="M14" s="26" t="str">
        <f>IFERROR(VLOOKUP($B14,'QB Reserve'!$A:$N,M$2,0),"-")</f>
        <v>-</v>
      </c>
      <c r="N14" s="26" t="str">
        <f>IFERROR(VLOOKUP($B14,'QB Reserve'!$A:$N,N$2,0),"-")</f>
        <v>-</v>
      </c>
      <c r="O14" s="15"/>
      <c r="P14" s="24" t="str">
        <f>IFERROR(VLOOKUP(B14,'QB Reserve'!A:P,16,0),"-")</f>
        <v>-</v>
      </c>
      <c r="Q14" s="15" t="str">
        <f>IFERROR(VLOOKUP(B14,'QB Reserve'!A:Q,17,0),"-")</f>
        <v>-</v>
      </c>
      <c r="R14" s="16" t="str">
        <f>IFERROR(VLOOKUP(B14,'QB Reserve'!A:T,20,0),"-")</f>
        <v>-</v>
      </c>
    </row>
    <row r="15" spans="1:20" ht="33.75" hidden="1" customHeight="1" x14ac:dyDescent="0.25">
      <c r="A15" s="15" t="str">
        <f t="shared" si="1"/>
        <v>-</v>
      </c>
      <c r="B15" s="17"/>
      <c r="C15" s="15" t="str">
        <f>IFERROR(VLOOKUP(B15,'QB Reserve'!A:B,2,0),"-")</f>
        <v>-</v>
      </c>
      <c r="D15" s="6" t="str">
        <f>IFERROR(VLOOKUP(B15,'QB Reserve'!A:C,3,0),"-")</f>
        <v>-</v>
      </c>
      <c r="E15" s="26" t="str">
        <f>IFERROR(VLOOKUP($B15,'QB Reserve'!$A:$N,E$2,0),"-")</f>
        <v>-</v>
      </c>
      <c r="F15" s="26" t="str">
        <f>IFERROR(VLOOKUP($B15,'QB Reserve'!$A:$N,F$2,0),"-")</f>
        <v>-</v>
      </c>
      <c r="G15" s="26" t="str">
        <f>IFERROR(VLOOKUP($B15,'QB Reserve'!$A:$N,G$2,0),"-")</f>
        <v>-</v>
      </c>
      <c r="H15" s="26" t="str">
        <f>IFERROR(VLOOKUP($B15,'QB Reserve'!$A:$N,H$2,0),"-")</f>
        <v>-</v>
      </c>
      <c r="I15" s="26" t="str">
        <f>IFERROR(VLOOKUP($B15,'QB Reserve'!$A:$N,I$2,0),"-")</f>
        <v>-</v>
      </c>
      <c r="J15" s="26" t="str">
        <f>IFERROR(VLOOKUP($B15,'QB Reserve'!$A:$N,J$2,0),"-")</f>
        <v>-</v>
      </c>
      <c r="K15" s="26" t="str">
        <f>IFERROR(VLOOKUP($B15,'QB Reserve'!$A:$N,K$2,0),"-")</f>
        <v>-</v>
      </c>
      <c r="L15" s="26" t="str">
        <f>IFERROR(VLOOKUP($B15,'QB Reserve'!$A:$N,L$2,0),"-")</f>
        <v>-</v>
      </c>
      <c r="M15" s="26" t="str">
        <f>IFERROR(VLOOKUP($B15,'QB Reserve'!$A:$N,M$2,0),"-")</f>
        <v>-</v>
      </c>
      <c r="N15" s="26" t="str">
        <f>IFERROR(VLOOKUP($B15,'QB Reserve'!$A:$N,N$2,0),"-")</f>
        <v>-</v>
      </c>
      <c r="O15" s="15"/>
      <c r="P15" s="24" t="str">
        <f>IFERROR(VLOOKUP(B15,'QB Reserve'!A:P,16,0),"-")</f>
        <v>-</v>
      </c>
      <c r="Q15" s="15" t="str">
        <f>IFERROR(VLOOKUP(B15,'QB Reserve'!A:Q,17,0),"-")</f>
        <v>-</v>
      </c>
      <c r="R15" s="16" t="str">
        <f>IFERROR(VLOOKUP(B15,'QB Reserve'!A:T,20,0),"-")</f>
        <v>-</v>
      </c>
    </row>
    <row r="16" spans="1:20" ht="33.75" hidden="1" customHeight="1" x14ac:dyDescent="0.25">
      <c r="A16" s="15" t="str">
        <f t="shared" si="1"/>
        <v>-</v>
      </c>
      <c r="B16" s="17"/>
      <c r="C16" s="15" t="str">
        <f>IFERROR(VLOOKUP(B16,'QB Reserve'!A:B,2,0),"-")</f>
        <v>-</v>
      </c>
      <c r="D16" s="6" t="str">
        <f>IFERROR(VLOOKUP(B16,'QB Reserve'!A:C,3,0),"-")</f>
        <v>-</v>
      </c>
      <c r="E16" s="26" t="str">
        <f>IFERROR(VLOOKUP($B16,'QB Reserve'!$A:$N,E$2,0),"-")</f>
        <v>-</v>
      </c>
      <c r="F16" s="26" t="str">
        <f>IFERROR(VLOOKUP($B16,'QB Reserve'!$A:$N,F$2,0),"-")</f>
        <v>-</v>
      </c>
      <c r="G16" s="26" t="str">
        <f>IFERROR(VLOOKUP($B16,'QB Reserve'!$A:$N,G$2,0),"-")</f>
        <v>-</v>
      </c>
      <c r="H16" s="26" t="str">
        <f>IFERROR(VLOOKUP($B16,'QB Reserve'!$A:$N,H$2,0),"-")</f>
        <v>-</v>
      </c>
      <c r="I16" s="26" t="str">
        <f>IFERROR(VLOOKUP($B16,'QB Reserve'!$A:$N,I$2,0),"-")</f>
        <v>-</v>
      </c>
      <c r="J16" s="26" t="str">
        <f>IFERROR(VLOOKUP($B16,'QB Reserve'!$A:$N,J$2,0),"-")</f>
        <v>-</v>
      </c>
      <c r="K16" s="26" t="str">
        <f>IFERROR(VLOOKUP($B16,'QB Reserve'!$A:$N,K$2,0),"-")</f>
        <v>-</v>
      </c>
      <c r="L16" s="26" t="str">
        <f>IFERROR(VLOOKUP($B16,'QB Reserve'!$A:$N,L$2,0),"-")</f>
        <v>-</v>
      </c>
      <c r="M16" s="26" t="str">
        <f>IFERROR(VLOOKUP($B16,'QB Reserve'!$A:$N,M$2,0),"-")</f>
        <v>-</v>
      </c>
      <c r="N16" s="26" t="str">
        <f>IFERROR(VLOOKUP($B16,'QB Reserve'!$A:$N,N$2,0),"-")</f>
        <v>-</v>
      </c>
      <c r="O16" s="15"/>
      <c r="P16" s="24" t="str">
        <f>IFERROR(VLOOKUP(B16,'QB Reserve'!A:P,16,0),"-")</f>
        <v>-</v>
      </c>
      <c r="Q16" s="15" t="str">
        <f>IFERROR(VLOOKUP(B16,'QB Reserve'!A:Q,17,0),"-")</f>
        <v>-</v>
      </c>
      <c r="R16" s="16" t="str">
        <f>IFERROR(VLOOKUP(B16,'QB Reserve'!A:T,20,0),"-")</f>
        <v>-</v>
      </c>
    </row>
    <row r="17" spans="1:18" ht="33.75" hidden="1" customHeight="1" x14ac:dyDescent="0.25">
      <c r="A17" s="15" t="str">
        <f t="shared" si="1"/>
        <v>-</v>
      </c>
      <c r="B17" s="17"/>
      <c r="C17" s="15" t="str">
        <f>IFERROR(VLOOKUP(B17,'QB Reserve'!A:B,2,0),"-")</f>
        <v>-</v>
      </c>
      <c r="D17" s="6" t="str">
        <f>IFERROR(VLOOKUP(B17,'QB Reserve'!A:C,3,0),"-")</f>
        <v>-</v>
      </c>
      <c r="E17" s="26" t="str">
        <f>IFERROR(VLOOKUP($B17,'QB Reserve'!$A:$N,E$2,0),"-")</f>
        <v>-</v>
      </c>
      <c r="F17" s="26" t="str">
        <f>IFERROR(VLOOKUP($B17,'QB Reserve'!$A:$N,F$2,0),"-")</f>
        <v>-</v>
      </c>
      <c r="G17" s="26" t="str">
        <f>IFERROR(VLOOKUP($B17,'QB Reserve'!$A:$N,G$2,0),"-")</f>
        <v>-</v>
      </c>
      <c r="H17" s="26" t="str">
        <f>IFERROR(VLOOKUP($B17,'QB Reserve'!$A:$N,H$2,0),"-")</f>
        <v>-</v>
      </c>
      <c r="I17" s="26" t="str">
        <f>IFERROR(VLOOKUP($B17,'QB Reserve'!$A:$N,I$2,0),"-")</f>
        <v>-</v>
      </c>
      <c r="J17" s="26" t="str">
        <f>IFERROR(VLOOKUP($B17,'QB Reserve'!$A:$N,J$2,0),"-")</f>
        <v>-</v>
      </c>
      <c r="K17" s="26" t="str">
        <f>IFERROR(VLOOKUP($B17,'QB Reserve'!$A:$N,K$2,0),"-")</f>
        <v>-</v>
      </c>
      <c r="L17" s="26" t="str">
        <f>IFERROR(VLOOKUP($B17,'QB Reserve'!$A:$N,L$2,0),"-")</f>
        <v>-</v>
      </c>
      <c r="M17" s="26" t="str">
        <f>IFERROR(VLOOKUP($B17,'QB Reserve'!$A:$N,M$2,0),"-")</f>
        <v>-</v>
      </c>
      <c r="N17" s="26" t="str">
        <f>IFERROR(VLOOKUP($B17,'QB Reserve'!$A:$N,N$2,0),"-")</f>
        <v>-</v>
      </c>
      <c r="O17" s="15"/>
      <c r="P17" s="24" t="str">
        <f>IFERROR(VLOOKUP(B17,'QB Reserve'!A:P,16,0),"-")</f>
        <v>-</v>
      </c>
      <c r="Q17" s="15" t="str">
        <f>IFERROR(VLOOKUP(B17,'QB Reserve'!A:Q,17,0),"-")</f>
        <v>-</v>
      </c>
      <c r="R17" s="16" t="str">
        <f>IFERROR(VLOOKUP(B17,'QB Reserve'!A:T,20,0),"-")</f>
        <v>-</v>
      </c>
    </row>
    <row r="18" spans="1:18" ht="33.75" hidden="1" customHeight="1" x14ac:dyDescent="0.25">
      <c r="A18" s="15" t="str">
        <f t="shared" si="1"/>
        <v>-</v>
      </c>
      <c r="B18" s="17"/>
      <c r="C18" s="15" t="str">
        <f>IFERROR(VLOOKUP(B18,'QB Reserve'!A:B,2,0),"-")</f>
        <v>-</v>
      </c>
      <c r="D18" s="6" t="str">
        <f>IFERROR(VLOOKUP(B18,'QB Reserve'!A:C,3,0),"-")</f>
        <v>-</v>
      </c>
      <c r="E18" s="26" t="str">
        <f>IFERROR(VLOOKUP($B18,'QB Reserve'!$A:$N,E$2,0),"-")</f>
        <v>-</v>
      </c>
      <c r="F18" s="26" t="str">
        <f>IFERROR(VLOOKUP($B18,'QB Reserve'!$A:$N,F$2,0),"-")</f>
        <v>-</v>
      </c>
      <c r="G18" s="26" t="str">
        <f>IFERROR(VLOOKUP($B18,'QB Reserve'!$A:$N,G$2,0),"-")</f>
        <v>-</v>
      </c>
      <c r="H18" s="26" t="str">
        <f>IFERROR(VLOOKUP($B18,'QB Reserve'!$A:$N,H$2,0),"-")</f>
        <v>-</v>
      </c>
      <c r="I18" s="26" t="str">
        <f>IFERROR(VLOOKUP($B18,'QB Reserve'!$A:$N,I$2,0),"-")</f>
        <v>-</v>
      </c>
      <c r="J18" s="26" t="str">
        <f>IFERROR(VLOOKUP($B18,'QB Reserve'!$A:$N,J$2,0),"-")</f>
        <v>-</v>
      </c>
      <c r="K18" s="26" t="str">
        <f>IFERROR(VLOOKUP($B18,'QB Reserve'!$A:$N,K$2,0),"-")</f>
        <v>-</v>
      </c>
      <c r="L18" s="26" t="str">
        <f>IFERROR(VLOOKUP($B18,'QB Reserve'!$A:$N,L$2,0),"-")</f>
        <v>-</v>
      </c>
      <c r="M18" s="26" t="str">
        <f>IFERROR(VLOOKUP($B18,'QB Reserve'!$A:$N,M$2,0),"-")</f>
        <v>-</v>
      </c>
      <c r="N18" s="26" t="str">
        <f>IFERROR(VLOOKUP($B18,'QB Reserve'!$A:$N,N$2,0),"-")</f>
        <v>-</v>
      </c>
      <c r="O18" s="15"/>
      <c r="P18" s="24" t="str">
        <f>IFERROR(VLOOKUP(B18,'QB Reserve'!A:P,16,0),"-")</f>
        <v>-</v>
      </c>
      <c r="Q18" s="15" t="str">
        <f>IFERROR(VLOOKUP(B18,'QB Reserve'!A:Q,17,0),"-")</f>
        <v>-</v>
      </c>
      <c r="R18" s="16" t="str">
        <f>IFERROR(VLOOKUP(B18,'QB Reserve'!A:T,20,0),"-")</f>
        <v>-</v>
      </c>
    </row>
    <row r="19" spans="1:18" ht="33.75" hidden="1" customHeight="1" x14ac:dyDescent="0.25">
      <c r="A19" s="15" t="str">
        <f t="shared" si="1"/>
        <v>-</v>
      </c>
      <c r="B19" s="17"/>
      <c r="C19" s="15" t="str">
        <f>IFERROR(VLOOKUP(B19,'QB Reserve'!A:B,2,0),"-")</f>
        <v>-</v>
      </c>
      <c r="D19" s="6" t="str">
        <f>IFERROR(VLOOKUP(B19,'QB Reserve'!A:C,3,0),"-")</f>
        <v>-</v>
      </c>
      <c r="E19" s="26" t="str">
        <f>IFERROR(VLOOKUP($B19,'QB Reserve'!$A:$N,E$2,0),"-")</f>
        <v>-</v>
      </c>
      <c r="F19" s="26" t="str">
        <f>IFERROR(VLOOKUP($B19,'QB Reserve'!$A:$N,F$2,0),"-")</f>
        <v>-</v>
      </c>
      <c r="G19" s="26" t="str">
        <f>IFERROR(VLOOKUP($B19,'QB Reserve'!$A:$N,G$2,0),"-")</f>
        <v>-</v>
      </c>
      <c r="H19" s="26" t="str">
        <f>IFERROR(VLOOKUP($B19,'QB Reserve'!$A:$N,H$2,0),"-")</f>
        <v>-</v>
      </c>
      <c r="I19" s="26" t="str">
        <f>IFERROR(VLOOKUP($B19,'QB Reserve'!$A:$N,I$2,0),"-")</f>
        <v>-</v>
      </c>
      <c r="J19" s="26" t="str">
        <f>IFERROR(VLOOKUP($B19,'QB Reserve'!$A:$N,J$2,0),"-")</f>
        <v>-</v>
      </c>
      <c r="K19" s="26" t="str">
        <f>IFERROR(VLOOKUP($B19,'QB Reserve'!$A:$N,K$2,0),"-")</f>
        <v>-</v>
      </c>
      <c r="L19" s="26" t="str">
        <f>IFERROR(VLOOKUP($B19,'QB Reserve'!$A:$N,L$2,0),"-")</f>
        <v>-</v>
      </c>
      <c r="M19" s="26" t="str">
        <f>IFERROR(VLOOKUP($B19,'QB Reserve'!$A:$N,M$2,0),"-")</f>
        <v>-</v>
      </c>
      <c r="N19" s="26" t="str">
        <f>IFERROR(VLOOKUP($B19,'QB Reserve'!$A:$N,N$2,0),"-")</f>
        <v>-</v>
      </c>
      <c r="O19" s="15"/>
      <c r="P19" s="24" t="str">
        <f>IFERROR(VLOOKUP(B19,'QB Reserve'!A:P,16,0),"-")</f>
        <v>-</v>
      </c>
      <c r="Q19" s="15" t="str">
        <f>IFERROR(VLOOKUP(B19,'QB Reserve'!A:Q,17,0),"-")</f>
        <v>-</v>
      </c>
      <c r="R19" s="16" t="str">
        <f>IFERROR(VLOOKUP(B19,'QB Reserve'!A:T,20,0),"-")</f>
        <v>-</v>
      </c>
    </row>
    <row r="20" spans="1:18" ht="33.75" hidden="1" customHeight="1" x14ac:dyDescent="0.25">
      <c r="A20" s="15" t="str">
        <f t="shared" si="1"/>
        <v>-</v>
      </c>
      <c r="B20" s="17"/>
      <c r="C20" s="15" t="str">
        <f>IFERROR(VLOOKUP(B20,'QB Reserve'!A:B,2,0),"-")</f>
        <v>-</v>
      </c>
      <c r="D20" s="6" t="str">
        <f>IFERROR(VLOOKUP(B20,'QB Reserve'!A:C,3,0),"-")</f>
        <v>-</v>
      </c>
      <c r="E20" s="26" t="str">
        <f>IFERROR(VLOOKUP($B20,'QB Reserve'!$A:$N,E$2,0),"-")</f>
        <v>-</v>
      </c>
      <c r="F20" s="26" t="str">
        <f>IFERROR(VLOOKUP($B20,'QB Reserve'!$A:$N,F$2,0),"-")</f>
        <v>-</v>
      </c>
      <c r="G20" s="26" t="str">
        <f>IFERROR(VLOOKUP($B20,'QB Reserve'!$A:$N,G$2,0),"-")</f>
        <v>-</v>
      </c>
      <c r="H20" s="26" t="str">
        <f>IFERROR(VLOOKUP($B20,'QB Reserve'!$A:$N,H$2,0),"-")</f>
        <v>-</v>
      </c>
      <c r="I20" s="26" t="str">
        <f>IFERROR(VLOOKUP($B20,'QB Reserve'!$A:$N,I$2,0),"-")</f>
        <v>-</v>
      </c>
      <c r="J20" s="26" t="str">
        <f>IFERROR(VLOOKUP($B20,'QB Reserve'!$A:$N,J$2,0),"-")</f>
        <v>-</v>
      </c>
      <c r="K20" s="26" t="str">
        <f>IFERROR(VLOOKUP($B20,'QB Reserve'!$A:$N,K$2,0),"-")</f>
        <v>-</v>
      </c>
      <c r="L20" s="26" t="str">
        <f>IFERROR(VLOOKUP($B20,'QB Reserve'!$A:$N,L$2,0),"-")</f>
        <v>-</v>
      </c>
      <c r="M20" s="26" t="str">
        <f>IFERROR(VLOOKUP($B20,'QB Reserve'!$A:$N,M$2,0),"-")</f>
        <v>-</v>
      </c>
      <c r="N20" s="26" t="str">
        <f>IFERROR(VLOOKUP($B20,'QB Reserve'!$A:$N,N$2,0),"-")</f>
        <v>-</v>
      </c>
      <c r="O20" s="15"/>
      <c r="P20" s="24" t="str">
        <f>IFERROR(VLOOKUP(B20,'QB Reserve'!A:P,16,0),"-")</f>
        <v>-</v>
      </c>
      <c r="Q20" s="15" t="str">
        <f>IFERROR(VLOOKUP(B20,'QB Reserve'!A:Q,17,0),"-")</f>
        <v>-</v>
      </c>
      <c r="R20" s="16" t="str">
        <f>IFERROR(VLOOKUP(B20,'QB Reserve'!A:T,20,0),"-")</f>
        <v>-</v>
      </c>
    </row>
    <row r="21" spans="1:18" ht="33.75" hidden="1" customHeight="1" x14ac:dyDescent="0.25">
      <c r="A21" s="15" t="str">
        <f t="shared" si="1"/>
        <v>-</v>
      </c>
      <c r="B21" s="17"/>
      <c r="C21" s="15" t="str">
        <f>IFERROR(VLOOKUP(B21,'QB Reserve'!A:B,2,0),"-")</f>
        <v>-</v>
      </c>
      <c r="D21" s="6" t="str">
        <f>IFERROR(VLOOKUP(B21,'QB Reserve'!A:C,3,0),"-")</f>
        <v>-</v>
      </c>
      <c r="E21" s="26" t="str">
        <f>IFERROR(VLOOKUP($B21,'QB Reserve'!$A:$N,E$2,0),"-")</f>
        <v>-</v>
      </c>
      <c r="F21" s="26" t="str">
        <f>IFERROR(VLOOKUP($B21,'QB Reserve'!$A:$N,F$2,0),"-")</f>
        <v>-</v>
      </c>
      <c r="G21" s="26" t="str">
        <f>IFERROR(VLOOKUP($B21,'QB Reserve'!$A:$N,G$2,0),"-")</f>
        <v>-</v>
      </c>
      <c r="H21" s="26" t="str">
        <f>IFERROR(VLOOKUP($B21,'QB Reserve'!$A:$N,H$2,0),"-")</f>
        <v>-</v>
      </c>
      <c r="I21" s="26" t="str">
        <f>IFERROR(VLOOKUP($B21,'QB Reserve'!$A:$N,I$2,0),"-")</f>
        <v>-</v>
      </c>
      <c r="J21" s="26" t="str">
        <f>IFERROR(VLOOKUP($B21,'QB Reserve'!$A:$N,J$2,0),"-")</f>
        <v>-</v>
      </c>
      <c r="K21" s="26" t="str">
        <f>IFERROR(VLOOKUP($B21,'QB Reserve'!$A:$N,K$2,0),"-")</f>
        <v>-</v>
      </c>
      <c r="L21" s="26" t="str">
        <f>IFERROR(VLOOKUP($B21,'QB Reserve'!$A:$N,L$2,0),"-")</f>
        <v>-</v>
      </c>
      <c r="M21" s="26" t="str">
        <f>IFERROR(VLOOKUP($B21,'QB Reserve'!$A:$N,M$2,0),"-")</f>
        <v>-</v>
      </c>
      <c r="N21" s="26" t="str">
        <f>IFERROR(VLOOKUP($B21,'QB Reserve'!$A:$N,N$2,0),"-")</f>
        <v>-</v>
      </c>
      <c r="O21" s="15"/>
      <c r="P21" s="24" t="str">
        <f>IFERROR(VLOOKUP(B21,'QB Reserve'!A:P,16,0),"-")</f>
        <v>-</v>
      </c>
      <c r="Q21" s="15" t="str">
        <f>IFERROR(VLOOKUP(B21,'QB Reserve'!A:Q,17,0),"-")</f>
        <v>-</v>
      </c>
      <c r="R21" s="16" t="str">
        <f>IFERROR(VLOOKUP(B21,'QB Reserve'!A:T,20,0),"-")</f>
        <v>-</v>
      </c>
    </row>
    <row r="22" spans="1:18" ht="33.75" hidden="1" customHeight="1" x14ac:dyDescent="0.25">
      <c r="A22" s="15" t="str">
        <f t="shared" si="1"/>
        <v>-</v>
      </c>
      <c r="B22" s="17"/>
      <c r="C22" s="15" t="str">
        <f>IFERROR(VLOOKUP(B22,'QB Reserve'!A:B,2,0),"-")</f>
        <v>-</v>
      </c>
      <c r="D22" s="6" t="str">
        <f>IFERROR(VLOOKUP(B22,'QB Reserve'!A:C,3,0),"-")</f>
        <v>-</v>
      </c>
      <c r="E22" s="26" t="str">
        <f>IFERROR(VLOOKUP($B22,'QB Reserve'!$A:$N,E$2,0),"-")</f>
        <v>-</v>
      </c>
      <c r="F22" s="26" t="str">
        <f>IFERROR(VLOOKUP($B22,'QB Reserve'!$A:$N,F$2,0),"-")</f>
        <v>-</v>
      </c>
      <c r="G22" s="26" t="str">
        <f>IFERROR(VLOOKUP($B22,'QB Reserve'!$A:$N,G$2,0),"-")</f>
        <v>-</v>
      </c>
      <c r="H22" s="26" t="str">
        <f>IFERROR(VLOOKUP($B22,'QB Reserve'!$A:$N,H$2,0),"-")</f>
        <v>-</v>
      </c>
      <c r="I22" s="26" t="str">
        <f>IFERROR(VLOOKUP($B22,'QB Reserve'!$A:$N,I$2,0),"-")</f>
        <v>-</v>
      </c>
      <c r="J22" s="26" t="str">
        <f>IFERROR(VLOOKUP($B22,'QB Reserve'!$A:$N,J$2,0),"-")</f>
        <v>-</v>
      </c>
      <c r="K22" s="26" t="str">
        <f>IFERROR(VLOOKUP($B22,'QB Reserve'!$A:$N,K$2,0),"-")</f>
        <v>-</v>
      </c>
      <c r="L22" s="26" t="str">
        <f>IFERROR(VLOOKUP($B22,'QB Reserve'!$A:$N,L$2,0),"-")</f>
        <v>-</v>
      </c>
      <c r="M22" s="26" t="str">
        <f>IFERROR(VLOOKUP($B22,'QB Reserve'!$A:$N,M$2,0),"-")</f>
        <v>-</v>
      </c>
      <c r="N22" s="26" t="str">
        <f>IFERROR(VLOOKUP($B22,'QB Reserve'!$A:$N,N$2,0),"-")</f>
        <v>-</v>
      </c>
      <c r="O22" s="15"/>
      <c r="P22" s="24" t="str">
        <f>IFERROR(VLOOKUP(B22,'QB Reserve'!A:P,16,0),"-")</f>
        <v>-</v>
      </c>
      <c r="Q22" s="15" t="str">
        <f>IFERROR(VLOOKUP(B22,'QB Reserve'!A:Q,17,0),"-")</f>
        <v>-</v>
      </c>
      <c r="R22" s="16" t="str">
        <f>IFERROR(VLOOKUP(B22,'QB Reserve'!A:T,20,0),"-")</f>
        <v>-</v>
      </c>
    </row>
    <row r="23" spans="1:18" ht="33.75" hidden="1" customHeight="1" x14ac:dyDescent="0.25">
      <c r="A23" s="15" t="str">
        <f t="shared" si="1"/>
        <v>-</v>
      </c>
      <c r="B23" s="17"/>
      <c r="C23" s="15" t="str">
        <f>IFERROR(VLOOKUP(B23,'QB Reserve'!A:B,2,0),"-")</f>
        <v>-</v>
      </c>
      <c r="D23" s="6" t="str">
        <f>IFERROR(VLOOKUP(B23,'QB Reserve'!A:C,3,0),"-")</f>
        <v>-</v>
      </c>
      <c r="E23" s="26" t="str">
        <f>IFERROR(VLOOKUP($B23,'QB Reserve'!$A:$N,E$2,0),"-")</f>
        <v>-</v>
      </c>
      <c r="F23" s="26" t="str">
        <f>IFERROR(VLOOKUP($B23,'QB Reserve'!$A:$N,F$2,0),"-")</f>
        <v>-</v>
      </c>
      <c r="G23" s="26" t="str">
        <f>IFERROR(VLOOKUP($B23,'QB Reserve'!$A:$N,G$2,0),"-")</f>
        <v>-</v>
      </c>
      <c r="H23" s="26" t="str">
        <f>IFERROR(VLOOKUP($B23,'QB Reserve'!$A:$N,H$2,0),"-")</f>
        <v>-</v>
      </c>
      <c r="I23" s="26" t="str">
        <f>IFERROR(VLOOKUP($B23,'QB Reserve'!$A:$N,I$2,0),"-")</f>
        <v>-</v>
      </c>
      <c r="J23" s="26" t="str">
        <f>IFERROR(VLOOKUP($B23,'QB Reserve'!$A:$N,J$2,0),"-")</f>
        <v>-</v>
      </c>
      <c r="K23" s="26" t="str">
        <f>IFERROR(VLOOKUP($B23,'QB Reserve'!$A:$N,K$2,0),"-")</f>
        <v>-</v>
      </c>
      <c r="L23" s="26" t="str">
        <f>IFERROR(VLOOKUP($B23,'QB Reserve'!$A:$N,L$2,0),"-")</f>
        <v>-</v>
      </c>
      <c r="M23" s="26" t="str">
        <f>IFERROR(VLOOKUP($B23,'QB Reserve'!$A:$N,M$2,0),"-")</f>
        <v>-</v>
      </c>
      <c r="N23" s="26" t="str">
        <f>IFERROR(VLOOKUP($B23,'QB Reserve'!$A:$N,N$2,0),"-")</f>
        <v>-</v>
      </c>
      <c r="O23" s="15"/>
      <c r="P23" s="24" t="str">
        <f>IFERROR(VLOOKUP(B23,'QB Reserve'!A:P,16,0),"-")</f>
        <v>-</v>
      </c>
      <c r="Q23" s="15" t="str">
        <f>IFERROR(VLOOKUP(B23,'QB Reserve'!A:Q,17,0),"-")</f>
        <v>-</v>
      </c>
      <c r="R23" s="16" t="str">
        <f>IFERROR(VLOOKUP(B23,'QB Reserve'!A:T,20,0),"-")</f>
        <v>-</v>
      </c>
    </row>
    <row r="24" spans="1:18" ht="33.75" hidden="1" customHeight="1" x14ac:dyDescent="0.25">
      <c r="A24" s="15" t="str">
        <f t="shared" si="1"/>
        <v>-</v>
      </c>
      <c r="B24" s="17"/>
      <c r="C24" s="15" t="str">
        <f>IFERROR(VLOOKUP(B24,'QB Reserve'!A:B,2,0),"-")</f>
        <v>-</v>
      </c>
      <c r="D24" s="6" t="str">
        <f>IFERROR(VLOOKUP(B24,'QB Reserve'!A:C,3,0),"-")</f>
        <v>-</v>
      </c>
      <c r="E24" s="26" t="str">
        <f>IFERROR(VLOOKUP($B24,'QB Reserve'!$A:$N,E$2,0),"-")</f>
        <v>-</v>
      </c>
      <c r="F24" s="26" t="str">
        <f>IFERROR(VLOOKUP($B24,'QB Reserve'!$A:$N,F$2,0),"-")</f>
        <v>-</v>
      </c>
      <c r="G24" s="26" t="str">
        <f>IFERROR(VLOOKUP($B24,'QB Reserve'!$A:$N,G$2,0),"-")</f>
        <v>-</v>
      </c>
      <c r="H24" s="26" t="str">
        <f>IFERROR(VLOOKUP($B24,'QB Reserve'!$A:$N,H$2,0),"-")</f>
        <v>-</v>
      </c>
      <c r="I24" s="26" t="str">
        <f>IFERROR(VLOOKUP($B24,'QB Reserve'!$A:$N,I$2,0),"-")</f>
        <v>-</v>
      </c>
      <c r="J24" s="26" t="str">
        <f>IFERROR(VLOOKUP($B24,'QB Reserve'!$A:$N,J$2,0),"-")</f>
        <v>-</v>
      </c>
      <c r="K24" s="26" t="str">
        <f>IFERROR(VLOOKUP($B24,'QB Reserve'!$A:$N,K$2,0),"-")</f>
        <v>-</v>
      </c>
      <c r="L24" s="26" t="str">
        <f>IFERROR(VLOOKUP($B24,'QB Reserve'!$A:$N,L$2,0),"-")</f>
        <v>-</v>
      </c>
      <c r="M24" s="26" t="str">
        <f>IFERROR(VLOOKUP($B24,'QB Reserve'!$A:$N,M$2,0),"-")</f>
        <v>-</v>
      </c>
      <c r="N24" s="26" t="str">
        <f>IFERROR(VLOOKUP($B24,'QB Reserve'!$A:$N,N$2,0),"-")</f>
        <v>-</v>
      </c>
      <c r="O24" s="15"/>
      <c r="P24" s="24" t="str">
        <f>IFERROR(VLOOKUP(B24,'QB Reserve'!A:P,16,0),"-")</f>
        <v>-</v>
      </c>
      <c r="Q24" s="15" t="str">
        <f>IFERROR(VLOOKUP(B24,'QB Reserve'!A:Q,17,0),"-")</f>
        <v>-</v>
      </c>
      <c r="R24" s="16" t="str">
        <f>IFERROR(VLOOKUP(B24,'QB Reserve'!A:T,20,0),"-")</f>
        <v>-</v>
      </c>
    </row>
    <row r="25" spans="1:18" ht="33.75" hidden="1" customHeight="1" x14ac:dyDescent="0.25">
      <c r="A25" s="15" t="str">
        <f t="shared" si="1"/>
        <v>-</v>
      </c>
      <c r="B25" s="17"/>
      <c r="C25" s="15" t="str">
        <f>IFERROR(VLOOKUP(B25,'QB Reserve'!A:B,2,0),"-")</f>
        <v>-</v>
      </c>
      <c r="D25" s="6" t="str">
        <f>IFERROR(VLOOKUP(B25,'QB Reserve'!A:C,3,0),"-")</f>
        <v>-</v>
      </c>
      <c r="E25" s="26" t="str">
        <f>IFERROR(VLOOKUP($B25,'QB Reserve'!$A:$N,E$2,0),"-")</f>
        <v>-</v>
      </c>
      <c r="F25" s="26" t="str">
        <f>IFERROR(VLOOKUP($B25,'QB Reserve'!$A:$N,F$2,0),"-")</f>
        <v>-</v>
      </c>
      <c r="G25" s="26" t="str">
        <f>IFERROR(VLOOKUP($B25,'QB Reserve'!$A:$N,G$2,0),"-")</f>
        <v>-</v>
      </c>
      <c r="H25" s="26" t="str">
        <f>IFERROR(VLOOKUP($B25,'QB Reserve'!$A:$N,H$2,0),"-")</f>
        <v>-</v>
      </c>
      <c r="I25" s="26" t="str">
        <f>IFERROR(VLOOKUP($B25,'QB Reserve'!$A:$N,I$2,0),"-")</f>
        <v>-</v>
      </c>
      <c r="J25" s="26" t="str">
        <f>IFERROR(VLOOKUP($B25,'QB Reserve'!$A:$N,J$2,0),"-")</f>
        <v>-</v>
      </c>
      <c r="K25" s="26" t="str">
        <f>IFERROR(VLOOKUP($B25,'QB Reserve'!$A:$N,K$2,0),"-")</f>
        <v>-</v>
      </c>
      <c r="L25" s="26" t="str">
        <f>IFERROR(VLOOKUP($B25,'QB Reserve'!$A:$N,L$2,0),"-")</f>
        <v>-</v>
      </c>
      <c r="M25" s="26" t="str">
        <f>IFERROR(VLOOKUP($B25,'QB Reserve'!$A:$N,M$2,0),"-")</f>
        <v>-</v>
      </c>
      <c r="N25" s="26" t="str">
        <f>IFERROR(VLOOKUP($B25,'QB Reserve'!$A:$N,N$2,0),"-")</f>
        <v>-</v>
      </c>
      <c r="O25" s="15"/>
      <c r="P25" s="24" t="str">
        <f>IFERROR(VLOOKUP(B25,'QB Reserve'!A:P,16,0),"-")</f>
        <v>-</v>
      </c>
      <c r="Q25" s="15" t="str">
        <f>IFERROR(VLOOKUP(B25,'QB Reserve'!A:Q,17,0),"-")</f>
        <v>-</v>
      </c>
      <c r="R25" s="16" t="str">
        <f>IFERROR(VLOOKUP(B25,'QB Reserve'!A:T,20,0),"-")</f>
        <v>-</v>
      </c>
    </row>
    <row r="26" spans="1:18" ht="33.75" hidden="1" customHeight="1" x14ac:dyDescent="0.25">
      <c r="A26" s="15" t="str">
        <f t="shared" si="1"/>
        <v>-</v>
      </c>
      <c r="B26" s="17"/>
      <c r="C26" s="15" t="str">
        <f>IFERROR(VLOOKUP(B26,'QB Reserve'!A:B,2,0),"-")</f>
        <v>-</v>
      </c>
      <c r="D26" s="6" t="str">
        <f>IFERROR(VLOOKUP(B26,'QB Reserve'!A:C,3,0),"-")</f>
        <v>-</v>
      </c>
      <c r="E26" s="26" t="str">
        <f>IFERROR(VLOOKUP($B26,'QB Reserve'!$A:$N,E$2,0),"-")</f>
        <v>-</v>
      </c>
      <c r="F26" s="26" t="str">
        <f>IFERROR(VLOOKUP($B26,'QB Reserve'!$A:$N,F$2,0),"-")</f>
        <v>-</v>
      </c>
      <c r="G26" s="26" t="str">
        <f>IFERROR(VLOOKUP($B26,'QB Reserve'!$A:$N,G$2,0),"-")</f>
        <v>-</v>
      </c>
      <c r="H26" s="26" t="str">
        <f>IFERROR(VLOOKUP($B26,'QB Reserve'!$A:$N,H$2,0),"-")</f>
        <v>-</v>
      </c>
      <c r="I26" s="26" t="str">
        <f>IFERROR(VLOOKUP($B26,'QB Reserve'!$A:$N,I$2,0),"-")</f>
        <v>-</v>
      </c>
      <c r="J26" s="26" t="str">
        <f>IFERROR(VLOOKUP($B26,'QB Reserve'!$A:$N,J$2,0),"-")</f>
        <v>-</v>
      </c>
      <c r="K26" s="26" t="str">
        <f>IFERROR(VLOOKUP($B26,'QB Reserve'!$A:$N,K$2,0),"-")</f>
        <v>-</v>
      </c>
      <c r="L26" s="26" t="str">
        <f>IFERROR(VLOOKUP($B26,'QB Reserve'!$A:$N,L$2,0),"-")</f>
        <v>-</v>
      </c>
      <c r="M26" s="26" t="str">
        <f>IFERROR(VLOOKUP($B26,'QB Reserve'!$A:$N,M$2,0),"-")</f>
        <v>-</v>
      </c>
      <c r="N26" s="26" t="str">
        <f>IFERROR(VLOOKUP($B26,'QB Reserve'!$A:$N,N$2,0),"-")</f>
        <v>-</v>
      </c>
      <c r="O26" s="15"/>
      <c r="P26" s="24" t="str">
        <f>IFERROR(VLOOKUP(B26,'QB Reserve'!A:P,16,0),"-")</f>
        <v>-</v>
      </c>
      <c r="Q26" s="15" t="str">
        <f>IFERROR(VLOOKUP(B26,'QB Reserve'!A:Q,17,0),"-")</f>
        <v>-</v>
      </c>
      <c r="R26" s="16" t="str">
        <f>IFERROR(VLOOKUP(B26,'QB Reserve'!A:T,20,0),"-")</f>
        <v>-</v>
      </c>
    </row>
    <row r="27" spans="1:18" ht="33.75" hidden="1" customHeight="1" x14ac:dyDescent="0.25">
      <c r="A27" s="15" t="str">
        <f t="shared" si="1"/>
        <v>-</v>
      </c>
      <c r="B27" s="17"/>
      <c r="C27" s="15" t="str">
        <f>IFERROR(VLOOKUP(B27,'QB Reserve'!A:B,2,0),"-")</f>
        <v>-</v>
      </c>
      <c r="D27" s="6" t="str">
        <f>IFERROR(VLOOKUP(B27,'QB Reserve'!A:C,3,0),"-")</f>
        <v>-</v>
      </c>
      <c r="E27" s="26" t="str">
        <f>IFERROR(VLOOKUP($B27,'QB Reserve'!$A:$N,E$2,0),"-")</f>
        <v>-</v>
      </c>
      <c r="F27" s="26" t="str">
        <f>IFERROR(VLOOKUP($B27,'QB Reserve'!$A:$N,F$2,0),"-")</f>
        <v>-</v>
      </c>
      <c r="G27" s="26" t="str">
        <f>IFERROR(VLOOKUP($B27,'QB Reserve'!$A:$N,G$2,0),"-")</f>
        <v>-</v>
      </c>
      <c r="H27" s="26" t="str">
        <f>IFERROR(VLOOKUP($B27,'QB Reserve'!$A:$N,H$2,0),"-")</f>
        <v>-</v>
      </c>
      <c r="I27" s="26" t="str">
        <f>IFERROR(VLOOKUP($B27,'QB Reserve'!$A:$N,I$2,0),"-")</f>
        <v>-</v>
      </c>
      <c r="J27" s="26" t="str">
        <f>IFERROR(VLOOKUP($B27,'QB Reserve'!$A:$N,J$2,0),"-")</f>
        <v>-</v>
      </c>
      <c r="K27" s="26" t="str">
        <f>IFERROR(VLOOKUP($B27,'QB Reserve'!$A:$N,K$2,0),"-")</f>
        <v>-</v>
      </c>
      <c r="L27" s="26" t="str">
        <f>IFERROR(VLOOKUP($B27,'QB Reserve'!$A:$N,L$2,0),"-")</f>
        <v>-</v>
      </c>
      <c r="M27" s="26" t="str">
        <f>IFERROR(VLOOKUP($B27,'QB Reserve'!$A:$N,M$2,0),"-")</f>
        <v>-</v>
      </c>
      <c r="N27" s="26" t="str">
        <f>IFERROR(VLOOKUP($B27,'QB Reserve'!$A:$N,N$2,0),"-")</f>
        <v>-</v>
      </c>
      <c r="O27" s="15"/>
      <c r="P27" s="24" t="str">
        <f>IFERROR(VLOOKUP(B27,'QB Reserve'!A:P,16,0),"-")</f>
        <v>-</v>
      </c>
      <c r="Q27" s="15" t="str">
        <f>IFERROR(VLOOKUP(B27,'QB Reserve'!A:Q,17,0),"-")</f>
        <v>-</v>
      </c>
      <c r="R27" s="16" t="str">
        <f>IFERROR(VLOOKUP(B27,'QB Reserve'!A:T,20,0),"-")</f>
        <v>-</v>
      </c>
    </row>
    <row r="28" spans="1:18" ht="33.75" hidden="1" customHeight="1" x14ac:dyDescent="0.25">
      <c r="A28" s="15" t="str">
        <f t="shared" si="1"/>
        <v>-</v>
      </c>
      <c r="B28" s="17"/>
      <c r="C28" s="15" t="str">
        <f>IFERROR(VLOOKUP(B28,'QB Reserve'!A:B,2,0),"-")</f>
        <v>-</v>
      </c>
      <c r="D28" s="6" t="str">
        <f>IFERROR(VLOOKUP(B28,'QB Reserve'!A:C,3,0),"-")</f>
        <v>-</v>
      </c>
      <c r="E28" s="26" t="str">
        <f>IFERROR(VLOOKUP($B28,'QB Reserve'!$A:$N,E$2,0),"-")</f>
        <v>-</v>
      </c>
      <c r="F28" s="26" t="str">
        <f>IFERROR(VLOOKUP($B28,'QB Reserve'!$A:$N,F$2,0),"-")</f>
        <v>-</v>
      </c>
      <c r="G28" s="26" t="str">
        <f>IFERROR(VLOOKUP($B28,'QB Reserve'!$A:$N,G$2,0),"-")</f>
        <v>-</v>
      </c>
      <c r="H28" s="26" t="str">
        <f>IFERROR(VLOOKUP($B28,'QB Reserve'!$A:$N,H$2,0),"-")</f>
        <v>-</v>
      </c>
      <c r="I28" s="26" t="str">
        <f>IFERROR(VLOOKUP($B28,'QB Reserve'!$A:$N,I$2,0),"-")</f>
        <v>-</v>
      </c>
      <c r="J28" s="26" t="str">
        <f>IFERROR(VLOOKUP($B28,'QB Reserve'!$A:$N,J$2,0),"-")</f>
        <v>-</v>
      </c>
      <c r="K28" s="26" t="str">
        <f>IFERROR(VLOOKUP($B28,'QB Reserve'!$A:$N,K$2,0),"-")</f>
        <v>-</v>
      </c>
      <c r="L28" s="26" t="str">
        <f>IFERROR(VLOOKUP($B28,'QB Reserve'!$A:$N,L$2,0),"-")</f>
        <v>-</v>
      </c>
      <c r="M28" s="26" t="str">
        <f>IFERROR(VLOOKUP($B28,'QB Reserve'!$A:$N,M$2,0),"-")</f>
        <v>-</v>
      </c>
      <c r="N28" s="26" t="str">
        <f>IFERROR(VLOOKUP($B28,'QB Reserve'!$A:$N,N$2,0),"-")</f>
        <v>-</v>
      </c>
      <c r="O28" s="15"/>
      <c r="P28" s="24" t="str">
        <f>IFERROR(VLOOKUP(B28,'QB Reserve'!A:P,16,0),"-")</f>
        <v>-</v>
      </c>
      <c r="Q28" s="15" t="str">
        <f>IFERROR(VLOOKUP(B28,'QB Reserve'!A:Q,17,0),"-")</f>
        <v>-</v>
      </c>
      <c r="R28" s="16" t="str">
        <f>IFERROR(VLOOKUP(B28,'QB Reserve'!A:T,20,0),"-")</f>
        <v>-</v>
      </c>
    </row>
    <row r="29" spans="1:18" ht="33.75" hidden="1" customHeight="1" x14ac:dyDescent="0.25">
      <c r="A29" s="15" t="str">
        <f t="shared" si="1"/>
        <v>-</v>
      </c>
      <c r="B29" s="17"/>
      <c r="C29" s="15" t="str">
        <f>IFERROR(VLOOKUP(B29,'QB Reserve'!A:B,2,0),"-")</f>
        <v>-</v>
      </c>
      <c r="D29" s="6" t="str">
        <f>IFERROR(VLOOKUP(B29,'QB Reserve'!A:C,3,0),"-")</f>
        <v>-</v>
      </c>
      <c r="E29" s="26" t="str">
        <f>IFERROR(VLOOKUP($B29,'QB Reserve'!$A:$N,E$2,0),"-")</f>
        <v>-</v>
      </c>
      <c r="F29" s="26" t="str">
        <f>IFERROR(VLOOKUP($B29,'QB Reserve'!$A:$N,F$2,0),"-")</f>
        <v>-</v>
      </c>
      <c r="G29" s="26" t="str">
        <f>IFERROR(VLOOKUP($B29,'QB Reserve'!$A:$N,G$2,0),"-")</f>
        <v>-</v>
      </c>
      <c r="H29" s="26" t="str">
        <f>IFERROR(VLOOKUP($B29,'QB Reserve'!$A:$N,H$2,0),"-")</f>
        <v>-</v>
      </c>
      <c r="I29" s="26" t="str">
        <f>IFERROR(VLOOKUP($B29,'QB Reserve'!$A:$N,I$2,0),"-")</f>
        <v>-</v>
      </c>
      <c r="J29" s="26" t="str">
        <f>IFERROR(VLOOKUP($B29,'QB Reserve'!$A:$N,J$2,0),"-")</f>
        <v>-</v>
      </c>
      <c r="K29" s="26" t="str">
        <f>IFERROR(VLOOKUP($B29,'QB Reserve'!$A:$N,K$2,0),"-")</f>
        <v>-</v>
      </c>
      <c r="L29" s="26" t="str">
        <f>IFERROR(VLOOKUP($B29,'QB Reserve'!$A:$N,L$2,0),"-")</f>
        <v>-</v>
      </c>
      <c r="M29" s="26" t="str">
        <f>IFERROR(VLOOKUP($B29,'QB Reserve'!$A:$N,M$2,0),"-")</f>
        <v>-</v>
      </c>
      <c r="N29" s="26" t="str">
        <f>IFERROR(VLOOKUP($B29,'QB Reserve'!$A:$N,N$2,0),"-")</f>
        <v>-</v>
      </c>
      <c r="O29" s="15"/>
      <c r="P29" s="24" t="str">
        <f>IFERROR(VLOOKUP(B29,'QB Reserve'!A:P,16,0),"-")</f>
        <v>-</v>
      </c>
      <c r="Q29" s="15" t="str">
        <f>IFERROR(VLOOKUP(B29,'QB Reserve'!A:Q,17,0),"-")</f>
        <v>-</v>
      </c>
      <c r="R29" s="16" t="str">
        <f>IFERROR(VLOOKUP(B29,'QB Reserve'!A:T,20,0),"-")</f>
        <v>-</v>
      </c>
    </row>
  </sheetData>
  <mergeCells count="1">
    <mergeCell ref="E3:N3"/>
  </mergeCells>
  <conditionalFormatting sqref="B1 B3:B1048576">
    <cfRule type="duplicateValues" dxfId="30" priority="4"/>
  </conditionalFormatting>
  <conditionalFormatting sqref="E5:N29">
    <cfRule type="cellIs" dxfId="29" priority="3" operator="equal">
      <formula>0</formula>
    </cfRule>
  </conditionalFormatting>
  <conditionalFormatting sqref="B2">
    <cfRule type="duplicateValues" dxfId="11" priority="2"/>
  </conditionalFormatting>
  <conditionalFormatting sqref="B2">
    <cfRule type="duplicateValues" dxfId="10" priority="1"/>
  </conditionalFormatting>
  <dataValidations count="1">
    <dataValidation type="list" allowBlank="1" showInputMessage="1" showErrorMessage="1" sqref="C5:C29" xr:uid="{4F02C4BB-7CF4-41BD-B33C-232B3F9B3870}">
      <formula1>TopicList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F37A-E322-454B-9BB1-8A3A453E6733}">
  <dimension ref="A1:T29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cols>
    <col min="1" max="1" width="7.28515625" style="3" customWidth="1"/>
    <col min="2" max="2" width="9" style="3" customWidth="1"/>
    <col min="3" max="3" width="18.5703125" style="3" customWidth="1"/>
    <col min="4" max="4" width="59" style="3" customWidth="1"/>
    <col min="5" max="14" width="13" style="9" customWidth="1"/>
    <col min="15" max="15" width="10.5703125" style="9" customWidth="1"/>
    <col min="16" max="16" width="24.140625" style="3" customWidth="1"/>
    <col min="17" max="17" width="20" style="9" customWidth="1"/>
    <col min="18" max="18" width="20" style="3" hidden="1" customWidth="1"/>
  </cols>
  <sheetData>
    <row r="1" spans="1:20" ht="33" customHeight="1" thickBot="1" x14ac:dyDescent="0.3">
      <c r="A1" s="1" t="s">
        <v>58</v>
      </c>
      <c r="B1" s="1"/>
      <c r="C1" s="1"/>
      <c r="D1" s="29" t="s">
        <v>240</v>
      </c>
      <c r="E1" s="20"/>
      <c r="F1" s="22" t="s">
        <v>66</v>
      </c>
      <c r="G1" s="20"/>
      <c r="H1" s="19">
        <f>MAX(A:A)</f>
        <v>6</v>
      </c>
      <c r="I1" s="21"/>
      <c r="J1" s="22" t="s">
        <v>67</v>
      </c>
      <c r="K1" s="21"/>
      <c r="L1" s="19">
        <f>SUM(Q:Q)</f>
        <v>17</v>
      </c>
      <c r="M1" s="20"/>
      <c r="N1" s="22" t="s">
        <v>69</v>
      </c>
      <c r="O1" s="21"/>
      <c r="P1" s="23">
        <f>SUM(R:R)+5</f>
        <v>29</v>
      </c>
      <c r="Q1" s="20"/>
      <c r="R1" s="2"/>
      <c r="S1" s="33" t="s">
        <v>265</v>
      </c>
      <c r="T1" s="33">
        <f>+COUNTIF($S$5:$S$32,S1)</f>
        <v>1</v>
      </c>
    </row>
    <row r="2" spans="1:20" ht="35.25" customHeight="1" x14ac:dyDescent="0.25">
      <c r="B2" s="34" t="s">
        <v>274</v>
      </c>
      <c r="C2" s="14"/>
      <c r="E2" s="25">
        <v>5</v>
      </c>
      <c r="F2" s="25">
        <v>6</v>
      </c>
      <c r="G2" s="25">
        <v>7</v>
      </c>
      <c r="H2" s="25">
        <v>8</v>
      </c>
      <c r="I2" s="25">
        <v>9</v>
      </c>
      <c r="J2" s="25">
        <v>10</v>
      </c>
      <c r="K2" s="25">
        <v>11</v>
      </c>
      <c r="L2" s="25">
        <v>12</v>
      </c>
      <c r="M2" s="25">
        <v>13</v>
      </c>
      <c r="N2" s="25">
        <v>14</v>
      </c>
      <c r="S2" s="33" t="s">
        <v>266</v>
      </c>
      <c r="T2" s="33">
        <f t="shared" ref="T2:T3" si="0">+COUNTIF($S$5:$S$32,S2)</f>
        <v>2</v>
      </c>
    </row>
    <row r="3" spans="1:20" ht="66" x14ac:dyDescent="0.25">
      <c r="A3" s="13" t="s">
        <v>57</v>
      </c>
      <c r="B3" s="13" t="s">
        <v>270</v>
      </c>
      <c r="C3" s="13" t="s">
        <v>54</v>
      </c>
      <c r="D3" s="13" t="s">
        <v>33</v>
      </c>
      <c r="E3" s="30" t="s">
        <v>38</v>
      </c>
      <c r="F3" s="31"/>
      <c r="G3" s="31"/>
      <c r="H3" s="31"/>
      <c r="I3" s="31"/>
      <c r="J3" s="31"/>
      <c r="K3" s="31"/>
      <c r="L3" s="31"/>
      <c r="M3" s="31"/>
      <c r="N3" s="32"/>
      <c r="O3" s="13" t="s">
        <v>59</v>
      </c>
      <c r="P3" s="13" t="s">
        <v>36</v>
      </c>
      <c r="Q3" s="13" t="s">
        <v>45</v>
      </c>
      <c r="R3" s="13" t="s">
        <v>68</v>
      </c>
      <c r="S3" s="33" t="s">
        <v>267</v>
      </c>
      <c r="T3" s="33">
        <f t="shared" si="0"/>
        <v>3</v>
      </c>
    </row>
    <row r="4" spans="1:20" ht="16.5" x14ac:dyDescent="0.25">
      <c r="A4" s="10"/>
      <c r="B4" s="18" t="s">
        <v>64</v>
      </c>
      <c r="C4" s="10"/>
      <c r="D4" s="10"/>
      <c r="E4" s="10" t="s">
        <v>39</v>
      </c>
      <c r="F4" s="10" t="s">
        <v>40</v>
      </c>
      <c r="G4" s="10">
        <v>3</v>
      </c>
      <c r="H4" s="10">
        <v>4</v>
      </c>
      <c r="I4" s="10">
        <v>5</v>
      </c>
      <c r="J4" s="10">
        <v>6</v>
      </c>
      <c r="K4" s="10">
        <v>7</v>
      </c>
      <c r="L4" s="10">
        <v>8</v>
      </c>
      <c r="M4" s="10">
        <v>9</v>
      </c>
      <c r="N4" s="10">
        <v>10</v>
      </c>
      <c r="O4" s="10"/>
      <c r="P4" s="10"/>
      <c r="Q4" s="10"/>
      <c r="R4" s="10"/>
    </row>
    <row r="5" spans="1:20" ht="33.75" customHeight="1" x14ac:dyDescent="0.25">
      <c r="A5" s="15">
        <f>+IF(LEN(D5)&gt;5,1,"-")</f>
        <v>1</v>
      </c>
      <c r="B5" s="17">
        <v>4</v>
      </c>
      <c r="C5" s="15" t="s">
        <v>70</v>
      </c>
      <c r="D5" s="6" t="str">
        <f>IFERROR(VLOOKUP(B5,'QB Reserve'!A:C,3,0),"-")</f>
        <v>Radius of circle is 5cm. Find area in cm²?</v>
      </c>
      <c r="E5" s="26" t="str">
        <f>IFERROR(VLOOKUP($B5,'QB Reserve'!$A:$N,E$2,0),"-")</f>
        <v>25π</v>
      </c>
      <c r="F5" s="26" t="str">
        <f>IFERROR(VLOOKUP($B5,'QB Reserve'!$A:$N,F$2,0),"-")</f>
        <v>5π</v>
      </c>
      <c r="G5" s="26" t="str">
        <f>IFERROR(VLOOKUP($B5,'QB Reserve'!$A:$N,G$2,0),"-")</f>
        <v>10π</v>
      </c>
      <c r="H5" s="26">
        <f>IFERROR(VLOOKUP($B5,'QB Reserve'!$A:$N,H$2,0),"-")</f>
        <v>25</v>
      </c>
      <c r="I5" s="26" t="str">
        <f>IFERROR(VLOOKUP($B5,'QB Reserve'!$A:$N,I$2,0),"-")</f>
        <v>25π</v>
      </c>
      <c r="J5" s="26">
        <f>IFERROR(VLOOKUP($B5,'QB Reserve'!$A:$N,J$2,0),"-")</f>
        <v>0</v>
      </c>
      <c r="K5" s="26">
        <f>IFERROR(VLOOKUP($B5,'QB Reserve'!$A:$N,K$2,0),"-")</f>
        <v>0</v>
      </c>
      <c r="L5" s="26">
        <f>IFERROR(VLOOKUP($B5,'QB Reserve'!$A:$N,L$2,0),"-")</f>
        <v>0</v>
      </c>
      <c r="M5" s="26">
        <f>IFERROR(VLOOKUP($B5,'QB Reserve'!$A:$N,M$2,0),"-")</f>
        <v>0</v>
      </c>
      <c r="N5" s="26">
        <f>IFERROR(VLOOKUP($B5,'QB Reserve'!$A:$N,N$2,0),"-")</f>
        <v>0</v>
      </c>
      <c r="O5" s="15"/>
      <c r="P5" s="24" t="str">
        <f>IFERROR(VLOOKUP(B5,'QB Reserve'!A:P,16,0),"-")</f>
        <v>Area=πr²</v>
      </c>
      <c r="Q5" s="15">
        <f>IFERROR(VLOOKUP(B5,'QB Reserve'!A:Q,17,0),"-")</f>
        <v>2</v>
      </c>
      <c r="R5" s="16">
        <f>IFERROR(VLOOKUP(B5,'QB Reserve'!A:T,20,0),"-")</f>
        <v>2</v>
      </c>
      <c r="S5" t="str">
        <f>+VLOOKUP(B5,'QB Reserve'!A:W,23,0)</f>
        <v>User 3</v>
      </c>
    </row>
    <row r="6" spans="1:20" ht="33.75" customHeight="1" x14ac:dyDescent="0.25">
      <c r="A6" s="15">
        <f>+IF(LEN(D6)&gt;5,A5+1,"-")</f>
        <v>2</v>
      </c>
      <c r="B6" s="17">
        <v>7</v>
      </c>
      <c r="C6" s="15" t="str">
        <f>IFERROR(VLOOKUP(B6,'QB Reserve'!A:B,2,0),"-")</f>
        <v>Maths - Addition/ Subtraction</v>
      </c>
      <c r="D6" s="6" t="str">
        <f>IFERROR(VLOOKUP(B6,'QB Reserve'!A:C,3,0),"-")</f>
        <v>What will be the result if 35 is Subtract from 63?</v>
      </c>
      <c r="E6" s="26">
        <f>IFERROR(VLOOKUP($B6,'QB Reserve'!$A:$N,E$2,0),"-")</f>
        <v>13</v>
      </c>
      <c r="F6" s="26">
        <f>IFERROR(VLOOKUP($B6,'QB Reserve'!$A:$N,F$2,0),"-")</f>
        <v>25</v>
      </c>
      <c r="G6" s="26">
        <f>IFERROR(VLOOKUP($B6,'QB Reserve'!$A:$N,G$2,0),"-")</f>
        <v>28</v>
      </c>
      <c r="H6" s="26">
        <f>IFERROR(VLOOKUP($B6,'QB Reserve'!$A:$N,H$2,0),"-")</f>
        <v>-28</v>
      </c>
      <c r="I6" s="26">
        <f>IFERROR(VLOOKUP($B6,'QB Reserve'!$A:$N,I$2,0),"-")</f>
        <v>0</v>
      </c>
      <c r="J6" s="26">
        <f>IFERROR(VLOOKUP($B6,'QB Reserve'!$A:$N,J$2,0),"-")</f>
        <v>0</v>
      </c>
      <c r="K6" s="26">
        <f>IFERROR(VLOOKUP($B6,'QB Reserve'!$A:$N,K$2,0),"-")</f>
        <v>0</v>
      </c>
      <c r="L6" s="26">
        <f>IFERROR(VLOOKUP($B6,'QB Reserve'!$A:$N,L$2,0),"-")</f>
        <v>0</v>
      </c>
      <c r="M6" s="26">
        <f>IFERROR(VLOOKUP($B6,'QB Reserve'!$A:$N,M$2,0),"-")</f>
        <v>0</v>
      </c>
      <c r="N6" s="26">
        <f>IFERROR(VLOOKUP($B6,'QB Reserve'!$A:$N,N$2,0),"-")</f>
        <v>0</v>
      </c>
      <c r="O6" s="15"/>
      <c r="P6" s="24">
        <f>IFERROR(VLOOKUP(B6,'QB Reserve'!A:P,16,0),"-")</f>
        <v>0</v>
      </c>
      <c r="Q6" s="15">
        <f>IFERROR(VLOOKUP(B6,'QB Reserve'!A:Q,17,0),"-")</f>
        <v>3</v>
      </c>
      <c r="R6" s="16">
        <f>IFERROR(VLOOKUP(B6,'QB Reserve'!A:T,20,0),"-")</f>
        <v>5</v>
      </c>
      <c r="S6" t="str">
        <f>+VLOOKUP(B6,'QB Reserve'!A:W,23,0)</f>
        <v>User 2</v>
      </c>
    </row>
    <row r="7" spans="1:20" ht="33.75" customHeight="1" x14ac:dyDescent="0.25">
      <c r="A7" s="15">
        <f t="shared" ref="A7:A29" si="1">+IF(LEN(D7)&gt;5,A6+1,"-")</f>
        <v>3</v>
      </c>
      <c r="B7" s="17">
        <v>13</v>
      </c>
      <c r="C7" s="15" t="str">
        <f>IFERROR(VLOOKUP(B7,'QB Reserve'!A:B,2,0),"-")</f>
        <v>Maths - Numbers</v>
      </c>
      <c r="D7" s="6" t="str">
        <f>IFERROR(VLOOKUP(B7,'QB Reserve'!A:C,3,0),"-")</f>
        <v>What is the exponent of 2 in the prime factorization of 24</v>
      </c>
      <c r="E7" s="26">
        <f>IFERROR(VLOOKUP($B7,'QB Reserve'!$A:$N,E$2,0),"-")</f>
        <v>3</v>
      </c>
      <c r="F7" s="26">
        <f>IFERROR(VLOOKUP($B7,'QB Reserve'!$A:$N,F$2,0),"-")</f>
        <v>2</v>
      </c>
      <c r="G7" s="26">
        <f>IFERROR(VLOOKUP($B7,'QB Reserve'!$A:$N,G$2,0),"-")</f>
        <v>4</v>
      </c>
      <c r="H7" s="26">
        <f>IFERROR(VLOOKUP($B7,'QB Reserve'!$A:$N,H$2,0),"-")</f>
        <v>1</v>
      </c>
      <c r="I7" s="26">
        <f>IFERROR(VLOOKUP($B7,'QB Reserve'!$A:$N,I$2,0),"-")</f>
        <v>2</v>
      </c>
      <c r="J7" s="26">
        <f>IFERROR(VLOOKUP($B7,'QB Reserve'!$A:$N,J$2,0),"-")</f>
        <v>0</v>
      </c>
      <c r="K7" s="26">
        <f>IFERROR(VLOOKUP($B7,'QB Reserve'!$A:$N,K$2,0),"-")</f>
        <v>0</v>
      </c>
      <c r="L7" s="26">
        <f>IFERROR(VLOOKUP($B7,'QB Reserve'!$A:$N,L$2,0),"-")</f>
        <v>0</v>
      </c>
      <c r="M7" s="26">
        <f>IFERROR(VLOOKUP($B7,'QB Reserve'!$A:$N,M$2,0),"-")</f>
        <v>0</v>
      </c>
      <c r="N7" s="26">
        <f>IFERROR(VLOOKUP($B7,'QB Reserve'!$A:$N,N$2,0),"-")</f>
        <v>0</v>
      </c>
      <c r="O7" s="15"/>
      <c r="P7" s="24">
        <f>IFERROR(VLOOKUP(B7,'QB Reserve'!A:P,16,0),"-")</f>
        <v>0</v>
      </c>
      <c r="Q7" s="15">
        <f>IFERROR(VLOOKUP(B7,'QB Reserve'!A:Q,17,0),"-")</f>
        <v>6</v>
      </c>
      <c r="R7" s="16">
        <f>IFERROR(VLOOKUP(B7,'QB Reserve'!A:T,20,0),"-")</f>
        <v>5</v>
      </c>
      <c r="S7" t="str">
        <f>+VLOOKUP(B7,'QB Reserve'!A:W,23,0)</f>
        <v>User 3</v>
      </c>
    </row>
    <row r="8" spans="1:20" ht="33.75" customHeight="1" x14ac:dyDescent="0.25">
      <c r="A8" s="15">
        <f t="shared" si="1"/>
        <v>4</v>
      </c>
      <c r="B8" s="17">
        <v>10</v>
      </c>
      <c r="C8" s="15" t="str">
        <f>IFERROR(VLOOKUP(B8,'QB Reserve'!A:B,2,0),"-")</f>
        <v>Maths - Arithmetic</v>
      </c>
      <c r="D8" s="6" t="str">
        <f>IFERROR(VLOOKUP(B8,'QB Reserve'!A:C,3,0),"-")</f>
        <v>What will be the result if 125 is Divided by 5?</v>
      </c>
      <c r="E8" s="26">
        <f>IFERROR(VLOOKUP($B8,'QB Reserve'!$A:$N,E$2,0),"-")</f>
        <v>20</v>
      </c>
      <c r="F8" s="26">
        <f>IFERROR(VLOOKUP($B8,'QB Reserve'!$A:$N,F$2,0),"-")</f>
        <v>10</v>
      </c>
      <c r="G8" s="26">
        <f>IFERROR(VLOOKUP($B8,'QB Reserve'!$A:$N,G$2,0),"-")</f>
        <v>25</v>
      </c>
      <c r="H8" s="26">
        <f>IFERROR(VLOOKUP($B8,'QB Reserve'!$A:$N,H$2,0),"-")</f>
        <v>30</v>
      </c>
      <c r="I8" s="26">
        <f>IFERROR(VLOOKUP($B8,'QB Reserve'!$A:$N,I$2,0),"-")</f>
        <v>0</v>
      </c>
      <c r="J8" s="26">
        <f>IFERROR(VLOOKUP($B8,'QB Reserve'!$A:$N,J$2,0),"-")</f>
        <v>0</v>
      </c>
      <c r="K8" s="26">
        <f>IFERROR(VLOOKUP($B8,'QB Reserve'!$A:$N,K$2,0),"-")</f>
        <v>0</v>
      </c>
      <c r="L8" s="26">
        <f>IFERROR(VLOOKUP($B8,'QB Reserve'!$A:$N,L$2,0),"-")</f>
        <v>0</v>
      </c>
      <c r="M8" s="26">
        <f>IFERROR(VLOOKUP($B8,'QB Reserve'!$A:$N,M$2,0),"-")</f>
        <v>0</v>
      </c>
      <c r="N8" s="26">
        <f>IFERROR(VLOOKUP($B8,'QB Reserve'!$A:$N,N$2,0),"-")</f>
        <v>0</v>
      </c>
      <c r="O8" s="15"/>
      <c r="P8" s="24">
        <f>IFERROR(VLOOKUP(B8,'QB Reserve'!A:P,16,0),"-")</f>
        <v>0</v>
      </c>
      <c r="Q8" s="15">
        <f>IFERROR(VLOOKUP(B8,'QB Reserve'!A:Q,17,0),"-")</f>
        <v>2</v>
      </c>
      <c r="R8" s="16">
        <f>IFERROR(VLOOKUP(B8,'QB Reserve'!A:T,20,0),"-")</f>
        <v>7</v>
      </c>
      <c r="S8" t="str">
        <f>+VLOOKUP(B8,'QB Reserve'!A:W,23,0)</f>
        <v>User 1</v>
      </c>
    </row>
    <row r="9" spans="1:20" ht="33.75" customHeight="1" x14ac:dyDescent="0.25">
      <c r="A9" s="15">
        <f t="shared" si="1"/>
        <v>5</v>
      </c>
      <c r="B9" s="17">
        <v>11</v>
      </c>
      <c r="C9" s="15" t="str">
        <f>IFERROR(VLOOKUP(B9,'QB Reserve'!A:B,2,0),"-")</f>
        <v>Maths - Arithmetic</v>
      </c>
      <c r="D9" s="6" t="str">
        <f>IFERROR(VLOOKUP(B9,'QB Reserve'!A:C,3,0),"-")</f>
        <v>Divide 1000 into 8 parts. What is the size of each group now?</v>
      </c>
      <c r="E9" s="26">
        <f>IFERROR(VLOOKUP($B9,'QB Reserve'!$A:$N,E$2,0),"-")</f>
        <v>125</v>
      </c>
      <c r="F9" s="26">
        <f>IFERROR(VLOOKUP($B9,'QB Reserve'!$A:$N,F$2,0),"-")</f>
        <v>225</v>
      </c>
      <c r="G9" s="26">
        <f>IFERROR(VLOOKUP($B9,'QB Reserve'!$A:$N,G$2,0),"-")</f>
        <v>0</v>
      </c>
      <c r="H9" s="26">
        <f>IFERROR(VLOOKUP($B9,'QB Reserve'!$A:$N,H$2,0),"-")</f>
        <v>0</v>
      </c>
      <c r="I9" s="26">
        <f>IFERROR(VLOOKUP($B9,'QB Reserve'!$A:$N,I$2,0),"-")</f>
        <v>0</v>
      </c>
      <c r="J9" s="26">
        <f>IFERROR(VLOOKUP($B9,'QB Reserve'!$A:$N,J$2,0),"-")</f>
        <v>0</v>
      </c>
      <c r="K9" s="26">
        <f>IFERROR(VLOOKUP($B9,'QB Reserve'!$A:$N,K$2,0),"-")</f>
        <v>0</v>
      </c>
      <c r="L9" s="26">
        <f>IFERROR(VLOOKUP($B9,'QB Reserve'!$A:$N,L$2,0),"-")</f>
        <v>0</v>
      </c>
      <c r="M9" s="26">
        <f>IFERROR(VLOOKUP($B9,'QB Reserve'!$A:$N,M$2,0),"-")</f>
        <v>0</v>
      </c>
      <c r="N9" s="26">
        <f>IFERROR(VLOOKUP($B9,'QB Reserve'!$A:$N,N$2,0),"-")</f>
        <v>0</v>
      </c>
      <c r="O9" s="15"/>
      <c r="P9" s="24">
        <f>IFERROR(VLOOKUP(B9,'QB Reserve'!A:P,16,0),"-")</f>
        <v>0</v>
      </c>
      <c r="Q9" s="15">
        <f>IFERROR(VLOOKUP(B9,'QB Reserve'!A:Q,17,0),"-")</f>
        <v>3</v>
      </c>
      <c r="R9" s="16">
        <f>IFERROR(VLOOKUP(B9,'QB Reserve'!A:T,20,0),"-")</f>
        <v>2</v>
      </c>
      <c r="S9" t="str">
        <f>+VLOOKUP(B9,'QB Reserve'!A:W,23,0)</f>
        <v>User 3</v>
      </c>
    </row>
    <row r="10" spans="1:20" ht="33.75" customHeight="1" x14ac:dyDescent="0.25">
      <c r="A10" s="15">
        <f t="shared" si="1"/>
        <v>6</v>
      </c>
      <c r="B10" s="17">
        <v>12</v>
      </c>
      <c r="C10" s="15" t="str">
        <f>IFERROR(VLOOKUP(B10,'QB Reserve'!A:B,2,0),"-")</f>
        <v>Maths - Numbers</v>
      </c>
      <c r="D10" s="6" t="str">
        <f>IFERROR(VLOOKUP(B10,'QB Reserve'!A:C,3,0),"-")</f>
        <v>LCM of 2 numbers is 25. HCF of the two numbers is 3. What is their product?</v>
      </c>
      <c r="E10" s="26">
        <f>IFERROR(VLOOKUP($B10,'QB Reserve'!$A:$N,E$2,0),"-")</f>
        <v>70</v>
      </c>
      <c r="F10" s="26">
        <f>IFERROR(VLOOKUP($B10,'QB Reserve'!$A:$N,F$2,0),"-")</f>
        <v>25</v>
      </c>
      <c r="G10" s="26">
        <f>IFERROR(VLOOKUP($B10,'QB Reserve'!$A:$N,G$2,0),"-")</f>
        <v>50</v>
      </c>
      <c r="H10" s="26">
        <f>IFERROR(VLOOKUP($B10,'QB Reserve'!$A:$N,H$2,0),"-")</f>
        <v>75</v>
      </c>
      <c r="I10" s="26">
        <f>IFERROR(VLOOKUP($B10,'QB Reserve'!$A:$N,I$2,0),"-")</f>
        <v>0</v>
      </c>
      <c r="J10" s="26">
        <f>IFERROR(VLOOKUP($B10,'QB Reserve'!$A:$N,J$2,0),"-")</f>
        <v>0</v>
      </c>
      <c r="K10" s="26">
        <f>IFERROR(VLOOKUP($B10,'QB Reserve'!$A:$N,K$2,0),"-")</f>
        <v>0</v>
      </c>
      <c r="L10" s="26">
        <f>IFERROR(VLOOKUP($B10,'QB Reserve'!$A:$N,L$2,0),"-")</f>
        <v>0</v>
      </c>
      <c r="M10" s="26">
        <f>IFERROR(VLOOKUP($B10,'QB Reserve'!$A:$N,M$2,0),"-")</f>
        <v>0</v>
      </c>
      <c r="N10" s="26">
        <f>IFERROR(VLOOKUP($B10,'QB Reserve'!$A:$N,N$2,0),"-")</f>
        <v>0</v>
      </c>
      <c r="O10" s="15"/>
      <c r="P10" s="24" t="str">
        <f>IFERROR(VLOOKUP(B10,'QB Reserve'!A:P,16,0),"-")</f>
        <v>Product of two numbers is equal to product of their LCM and HCF.</v>
      </c>
      <c r="Q10" s="15">
        <f>IFERROR(VLOOKUP(B10,'QB Reserve'!A:Q,17,0),"-")</f>
        <v>1</v>
      </c>
      <c r="R10" s="16">
        <f>IFERROR(VLOOKUP(B10,'QB Reserve'!A:T,20,0),"-")</f>
        <v>3</v>
      </c>
      <c r="S10" t="str">
        <f>+VLOOKUP(B10,'QB Reserve'!A:W,23,0)</f>
        <v>User 2</v>
      </c>
    </row>
    <row r="11" spans="1:20" ht="33.75" hidden="1" customHeight="1" x14ac:dyDescent="0.25">
      <c r="A11" s="15" t="str">
        <f t="shared" ref="A11" si="2">+IF(LEN(D11)&gt;5,A10+1,"-")</f>
        <v>-</v>
      </c>
      <c r="B11" s="17"/>
      <c r="C11" s="15" t="str">
        <f>IFERROR(VLOOKUP(B11,'QB Reserve'!A:B,2,0),"-")</f>
        <v>-</v>
      </c>
      <c r="D11" s="6" t="str">
        <f>IFERROR(VLOOKUP(B11,'QB Reserve'!A:C,3,0),"-")</f>
        <v>-</v>
      </c>
      <c r="E11" s="26" t="str">
        <f>IFERROR(VLOOKUP($B11,'QB Reserve'!$A:$N,E$2,0),"-")</f>
        <v>-</v>
      </c>
      <c r="F11" s="26" t="str">
        <f>IFERROR(VLOOKUP($B11,'QB Reserve'!$A:$N,F$2,0),"-")</f>
        <v>-</v>
      </c>
      <c r="G11" s="26" t="str">
        <f>IFERROR(VLOOKUP($B11,'QB Reserve'!$A:$N,G$2,0),"-")</f>
        <v>-</v>
      </c>
      <c r="H11" s="26" t="str">
        <f>IFERROR(VLOOKUP($B11,'QB Reserve'!$A:$N,H$2,0),"-")</f>
        <v>-</v>
      </c>
      <c r="I11" s="26" t="str">
        <f>IFERROR(VLOOKUP($B11,'QB Reserve'!$A:$N,I$2,0),"-")</f>
        <v>-</v>
      </c>
      <c r="J11" s="26" t="str">
        <f>IFERROR(VLOOKUP($B11,'QB Reserve'!$A:$N,J$2,0),"-")</f>
        <v>-</v>
      </c>
      <c r="K11" s="26" t="str">
        <f>IFERROR(VLOOKUP($B11,'QB Reserve'!$A:$N,K$2,0),"-")</f>
        <v>-</v>
      </c>
      <c r="L11" s="26" t="str">
        <f>IFERROR(VLOOKUP($B11,'QB Reserve'!$A:$N,L$2,0),"-")</f>
        <v>-</v>
      </c>
      <c r="M11" s="26" t="str">
        <f>IFERROR(VLOOKUP($B11,'QB Reserve'!$A:$N,M$2,0),"-")</f>
        <v>-</v>
      </c>
      <c r="N11" s="26" t="str">
        <f>IFERROR(VLOOKUP($B11,'QB Reserve'!$A:$N,N$2,0),"-")</f>
        <v>-</v>
      </c>
      <c r="O11" s="15"/>
      <c r="P11" s="24" t="str">
        <f>IFERROR(VLOOKUP(B11,'QB Reserve'!A:P,16,0),"-")</f>
        <v>-</v>
      </c>
      <c r="Q11" s="15" t="str">
        <f>IFERROR(VLOOKUP(B11,'QB Reserve'!A:Q,17,0),"-")</f>
        <v>-</v>
      </c>
      <c r="R11" s="16" t="str">
        <f>IFERROR(VLOOKUP(B11,'QB Reserve'!A:T,20,0),"-")</f>
        <v>-</v>
      </c>
    </row>
    <row r="12" spans="1:20" ht="33.75" hidden="1" customHeight="1" x14ac:dyDescent="0.25">
      <c r="A12" s="15" t="str">
        <f t="shared" si="1"/>
        <v>-</v>
      </c>
      <c r="B12" s="17"/>
      <c r="C12" s="15" t="str">
        <f>IFERROR(VLOOKUP(B12,'QB Reserve'!A:B,2,0),"-")</f>
        <v>-</v>
      </c>
      <c r="D12" s="6" t="str">
        <f>IFERROR(VLOOKUP(B12,'QB Reserve'!A:C,3,0),"-")</f>
        <v>-</v>
      </c>
      <c r="E12" s="26" t="str">
        <f>IFERROR(VLOOKUP($B12,'QB Reserve'!$A:$N,E$2,0),"-")</f>
        <v>-</v>
      </c>
      <c r="F12" s="26" t="str">
        <f>IFERROR(VLOOKUP($B12,'QB Reserve'!$A:$N,F$2,0),"-")</f>
        <v>-</v>
      </c>
      <c r="G12" s="26" t="str">
        <f>IFERROR(VLOOKUP($B12,'QB Reserve'!$A:$N,G$2,0),"-")</f>
        <v>-</v>
      </c>
      <c r="H12" s="26" t="str">
        <f>IFERROR(VLOOKUP($B12,'QB Reserve'!$A:$N,H$2,0),"-")</f>
        <v>-</v>
      </c>
      <c r="I12" s="26" t="str">
        <f>IFERROR(VLOOKUP($B12,'QB Reserve'!$A:$N,I$2,0),"-")</f>
        <v>-</v>
      </c>
      <c r="J12" s="26" t="str">
        <f>IFERROR(VLOOKUP($B12,'QB Reserve'!$A:$N,J$2,0),"-")</f>
        <v>-</v>
      </c>
      <c r="K12" s="26" t="str">
        <f>IFERROR(VLOOKUP($B12,'QB Reserve'!$A:$N,K$2,0),"-")</f>
        <v>-</v>
      </c>
      <c r="L12" s="26" t="str">
        <f>IFERROR(VLOOKUP($B12,'QB Reserve'!$A:$N,L$2,0),"-")</f>
        <v>-</v>
      </c>
      <c r="M12" s="26" t="str">
        <f>IFERROR(VLOOKUP($B12,'QB Reserve'!$A:$N,M$2,0),"-")</f>
        <v>-</v>
      </c>
      <c r="N12" s="26" t="str">
        <f>IFERROR(VLOOKUP($B12,'QB Reserve'!$A:$N,N$2,0),"-")</f>
        <v>-</v>
      </c>
      <c r="O12" s="15"/>
      <c r="P12" s="24" t="str">
        <f>IFERROR(VLOOKUP(B12,'QB Reserve'!A:P,16,0),"-")</f>
        <v>-</v>
      </c>
      <c r="Q12" s="15" t="str">
        <f>IFERROR(VLOOKUP(B12,'QB Reserve'!A:Q,17,0),"-")</f>
        <v>-</v>
      </c>
      <c r="R12" s="16" t="str">
        <f>IFERROR(VLOOKUP(B12,'QB Reserve'!A:T,20,0),"-")</f>
        <v>-</v>
      </c>
    </row>
    <row r="13" spans="1:20" ht="33.75" hidden="1" customHeight="1" x14ac:dyDescent="0.25">
      <c r="A13" s="15" t="str">
        <f t="shared" si="1"/>
        <v>-</v>
      </c>
      <c r="B13" s="17"/>
      <c r="C13" s="15" t="str">
        <f>IFERROR(VLOOKUP(B13,'QB Reserve'!A:B,2,0),"-")</f>
        <v>-</v>
      </c>
      <c r="D13" s="6" t="str">
        <f>IFERROR(VLOOKUP(B13,'QB Reserve'!A:C,3,0),"-")</f>
        <v>-</v>
      </c>
      <c r="E13" s="26" t="str">
        <f>IFERROR(VLOOKUP($B13,'QB Reserve'!$A:$N,E$2,0),"-")</f>
        <v>-</v>
      </c>
      <c r="F13" s="26" t="str">
        <f>IFERROR(VLOOKUP($B13,'QB Reserve'!$A:$N,F$2,0),"-")</f>
        <v>-</v>
      </c>
      <c r="G13" s="26" t="str">
        <f>IFERROR(VLOOKUP($B13,'QB Reserve'!$A:$N,G$2,0),"-")</f>
        <v>-</v>
      </c>
      <c r="H13" s="26" t="str">
        <f>IFERROR(VLOOKUP($B13,'QB Reserve'!$A:$N,H$2,0),"-")</f>
        <v>-</v>
      </c>
      <c r="I13" s="26" t="str">
        <f>IFERROR(VLOOKUP($B13,'QB Reserve'!$A:$N,I$2,0),"-")</f>
        <v>-</v>
      </c>
      <c r="J13" s="26" t="str">
        <f>IFERROR(VLOOKUP($B13,'QB Reserve'!$A:$N,J$2,0),"-")</f>
        <v>-</v>
      </c>
      <c r="K13" s="26" t="str">
        <f>IFERROR(VLOOKUP($B13,'QB Reserve'!$A:$N,K$2,0),"-")</f>
        <v>-</v>
      </c>
      <c r="L13" s="26" t="str">
        <f>IFERROR(VLOOKUP($B13,'QB Reserve'!$A:$N,L$2,0),"-")</f>
        <v>-</v>
      </c>
      <c r="M13" s="26" t="str">
        <f>IFERROR(VLOOKUP($B13,'QB Reserve'!$A:$N,M$2,0),"-")</f>
        <v>-</v>
      </c>
      <c r="N13" s="26" t="str">
        <f>IFERROR(VLOOKUP($B13,'QB Reserve'!$A:$N,N$2,0),"-")</f>
        <v>-</v>
      </c>
      <c r="O13" s="15"/>
      <c r="P13" s="24" t="str">
        <f>IFERROR(VLOOKUP(B13,'QB Reserve'!A:P,16,0),"-")</f>
        <v>-</v>
      </c>
      <c r="Q13" s="15" t="str">
        <f>IFERROR(VLOOKUP(B13,'QB Reserve'!A:Q,17,0),"-")</f>
        <v>-</v>
      </c>
      <c r="R13" s="16" t="str">
        <f>IFERROR(VLOOKUP(B13,'QB Reserve'!A:T,20,0),"-")</f>
        <v>-</v>
      </c>
    </row>
    <row r="14" spans="1:20" ht="33.75" hidden="1" customHeight="1" x14ac:dyDescent="0.25">
      <c r="A14" s="15" t="str">
        <f t="shared" si="1"/>
        <v>-</v>
      </c>
      <c r="B14" s="17"/>
      <c r="C14" s="15" t="str">
        <f>IFERROR(VLOOKUP(B14,'QB Reserve'!A:B,2,0),"-")</f>
        <v>-</v>
      </c>
      <c r="D14" s="6" t="str">
        <f>IFERROR(VLOOKUP(B14,'QB Reserve'!A:C,3,0),"-")</f>
        <v>-</v>
      </c>
      <c r="E14" s="26" t="str">
        <f>IFERROR(VLOOKUP($B14,'QB Reserve'!$A:$N,E$2,0),"-")</f>
        <v>-</v>
      </c>
      <c r="F14" s="26" t="str">
        <f>IFERROR(VLOOKUP($B14,'QB Reserve'!$A:$N,F$2,0),"-")</f>
        <v>-</v>
      </c>
      <c r="G14" s="26" t="str">
        <f>IFERROR(VLOOKUP($B14,'QB Reserve'!$A:$N,G$2,0),"-")</f>
        <v>-</v>
      </c>
      <c r="H14" s="26" t="str">
        <f>IFERROR(VLOOKUP($B14,'QB Reserve'!$A:$N,H$2,0),"-")</f>
        <v>-</v>
      </c>
      <c r="I14" s="26" t="str">
        <f>IFERROR(VLOOKUP($B14,'QB Reserve'!$A:$N,I$2,0),"-")</f>
        <v>-</v>
      </c>
      <c r="J14" s="26" t="str">
        <f>IFERROR(VLOOKUP($B14,'QB Reserve'!$A:$N,J$2,0),"-")</f>
        <v>-</v>
      </c>
      <c r="K14" s="26" t="str">
        <f>IFERROR(VLOOKUP($B14,'QB Reserve'!$A:$N,K$2,0),"-")</f>
        <v>-</v>
      </c>
      <c r="L14" s="26" t="str">
        <f>IFERROR(VLOOKUP($B14,'QB Reserve'!$A:$N,L$2,0),"-")</f>
        <v>-</v>
      </c>
      <c r="M14" s="26" t="str">
        <f>IFERROR(VLOOKUP($B14,'QB Reserve'!$A:$N,M$2,0),"-")</f>
        <v>-</v>
      </c>
      <c r="N14" s="26" t="str">
        <f>IFERROR(VLOOKUP($B14,'QB Reserve'!$A:$N,N$2,0),"-")</f>
        <v>-</v>
      </c>
      <c r="O14" s="15"/>
      <c r="P14" s="24" t="str">
        <f>IFERROR(VLOOKUP(B14,'QB Reserve'!A:P,16,0),"-")</f>
        <v>-</v>
      </c>
      <c r="Q14" s="15" t="str">
        <f>IFERROR(VLOOKUP(B14,'QB Reserve'!A:Q,17,0),"-")</f>
        <v>-</v>
      </c>
      <c r="R14" s="16" t="str">
        <f>IFERROR(VLOOKUP(B14,'QB Reserve'!A:T,20,0),"-")</f>
        <v>-</v>
      </c>
    </row>
    <row r="15" spans="1:20" ht="33.75" hidden="1" customHeight="1" x14ac:dyDescent="0.25">
      <c r="A15" s="15" t="str">
        <f t="shared" si="1"/>
        <v>-</v>
      </c>
      <c r="B15" s="17"/>
      <c r="C15" s="15" t="str">
        <f>IFERROR(VLOOKUP(B15,'QB Reserve'!A:B,2,0),"-")</f>
        <v>-</v>
      </c>
      <c r="D15" s="6" t="str">
        <f>IFERROR(VLOOKUP(B15,'QB Reserve'!A:C,3,0),"-")</f>
        <v>-</v>
      </c>
      <c r="E15" s="26" t="str">
        <f>IFERROR(VLOOKUP($B15,'QB Reserve'!$A:$N,E$2,0),"-")</f>
        <v>-</v>
      </c>
      <c r="F15" s="26" t="str">
        <f>IFERROR(VLOOKUP($B15,'QB Reserve'!$A:$N,F$2,0),"-")</f>
        <v>-</v>
      </c>
      <c r="G15" s="26" t="str">
        <f>IFERROR(VLOOKUP($B15,'QB Reserve'!$A:$N,G$2,0),"-")</f>
        <v>-</v>
      </c>
      <c r="H15" s="26" t="str">
        <f>IFERROR(VLOOKUP($B15,'QB Reserve'!$A:$N,H$2,0),"-")</f>
        <v>-</v>
      </c>
      <c r="I15" s="26" t="str">
        <f>IFERROR(VLOOKUP($B15,'QB Reserve'!$A:$N,I$2,0),"-")</f>
        <v>-</v>
      </c>
      <c r="J15" s="26" t="str">
        <f>IFERROR(VLOOKUP($B15,'QB Reserve'!$A:$N,J$2,0),"-")</f>
        <v>-</v>
      </c>
      <c r="K15" s="26" t="str">
        <f>IFERROR(VLOOKUP($B15,'QB Reserve'!$A:$N,K$2,0),"-")</f>
        <v>-</v>
      </c>
      <c r="L15" s="26" t="str">
        <f>IFERROR(VLOOKUP($B15,'QB Reserve'!$A:$N,L$2,0),"-")</f>
        <v>-</v>
      </c>
      <c r="M15" s="26" t="str">
        <f>IFERROR(VLOOKUP($B15,'QB Reserve'!$A:$N,M$2,0),"-")</f>
        <v>-</v>
      </c>
      <c r="N15" s="26" t="str">
        <f>IFERROR(VLOOKUP($B15,'QB Reserve'!$A:$N,N$2,0),"-")</f>
        <v>-</v>
      </c>
      <c r="O15" s="15"/>
      <c r="P15" s="24" t="str">
        <f>IFERROR(VLOOKUP(B15,'QB Reserve'!A:P,16,0),"-")</f>
        <v>-</v>
      </c>
      <c r="Q15" s="15" t="str">
        <f>IFERROR(VLOOKUP(B15,'QB Reserve'!A:Q,17,0),"-")</f>
        <v>-</v>
      </c>
      <c r="R15" s="16" t="str">
        <f>IFERROR(VLOOKUP(B15,'QB Reserve'!A:T,20,0),"-")</f>
        <v>-</v>
      </c>
    </row>
    <row r="16" spans="1:20" ht="33.75" hidden="1" customHeight="1" x14ac:dyDescent="0.25">
      <c r="A16" s="15" t="str">
        <f t="shared" si="1"/>
        <v>-</v>
      </c>
      <c r="B16" s="17"/>
      <c r="C16" s="15" t="str">
        <f>IFERROR(VLOOKUP(B16,'QB Reserve'!A:B,2,0),"-")</f>
        <v>-</v>
      </c>
      <c r="D16" s="6" t="str">
        <f>IFERROR(VLOOKUP(B16,'QB Reserve'!A:C,3,0),"-")</f>
        <v>-</v>
      </c>
      <c r="E16" s="26" t="str">
        <f>IFERROR(VLOOKUP($B16,'QB Reserve'!$A:$N,E$2,0),"-")</f>
        <v>-</v>
      </c>
      <c r="F16" s="26" t="str">
        <f>IFERROR(VLOOKUP($B16,'QB Reserve'!$A:$N,F$2,0),"-")</f>
        <v>-</v>
      </c>
      <c r="G16" s="26" t="str">
        <f>IFERROR(VLOOKUP($B16,'QB Reserve'!$A:$N,G$2,0),"-")</f>
        <v>-</v>
      </c>
      <c r="H16" s="26" t="str">
        <f>IFERROR(VLOOKUP($B16,'QB Reserve'!$A:$N,H$2,0),"-")</f>
        <v>-</v>
      </c>
      <c r="I16" s="26" t="str">
        <f>IFERROR(VLOOKUP($B16,'QB Reserve'!$A:$N,I$2,0),"-")</f>
        <v>-</v>
      </c>
      <c r="J16" s="26" t="str">
        <f>IFERROR(VLOOKUP($B16,'QB Reserve'!$A:$N,J$2,0),"-")</f>
        <v>-</v>
      </c>
      <c r="K16" s="26" t="str">
        <f>IFERROR(VLOOKUP($B16,'QB Reserve'!$A:$N,K$2,0),"-")</f>
        <v>-</v>
      </c>
      <c r="L16" s="26" t="str">
        <f>IFERROR(VLOOKUP($B16,'QB Reserve'!$A:$N,L$2,0),"-")</f>
        <v>-</v>
      </c>
      <c r="M16" s="26" t="str">
        <f>IFERROR(VLOOKUP($B16,'QB Reserve'!$A:$N,M$2,0),"-")</f>
        <v>-</v>
      </c>
      <c r="N16" s="26" t="str">
        <f>IFERROR(VLOOKUP($B16,'QB Reserve'!$A:$N,N$2,0),"-")</f>
        <v>-</v>
      </c>
      <c r="O16" s="15"/>
      <c r="P16" s="24" t="str">
        <f>IFERROR(VLOOKUP(B16,'QB Reserve'!A:P,16,0),"-")</f>
        <v>-</v>
      </c>
      <c r="Q16" s="15" t="str">
        <f>IFERROR(VLOOKUP(B16,'QB Reserve'!A:Q,17,0),"-")</f>
        <v>-</v>
      </c>
      <c r="R16" s="16" t="str">
        <f>IFERROR(VLOOKUP(B16,'QB Reserve'!A:T,20,0),"-")</f>
        <v>-</v>
      </c>
    </row>
    <row r="17" spans="1:18" ht="33.75" hidden="1" customHeight="1" x14ac:dyDescent="0.25">
      <c r="A17" s="15" t="str">
        <f t="shared" si="1"/>
        <v>-</v>
      </c>
      <c r="B17" s="17"/>
      <c r="C17" s="15" t="str">
        <f>IFERROR(VLOOKUP(B17,'QB Reserve'!A:B,2,0),"-")</f>
        <v>-</v>
      </c>
      <c r="D17" s="6" t="str">
        <f>IFERROR(VLOOKUP(B17,'QB Reserve'!A:C,3,0),"-")</f>
        <v>-</v>
      </c>
      <c r="E17" s="26" t="str">
        <f>IFERROR(VLOOKUP($B17,'QB Reserve'!$A:$N,E$2,0),"-")</f>
        <v>-</v>
      </c>
      <c r="F17" s="26" t="str">
        <f>IFERROR(VLOOKUP($B17,'QB Reserve'!$A:$N,F$2,0),"-")</f>
        <v>-</v>
      </c>
      <c r="G17" s="26" t="str">
        <f>IFERROR(VLOOKUP($B17,'QB Reserve'!$A:$N,G$2,0),"-")</f>
        <v>-</v>
      </c>
      <c r="H17" s="26" t="str">
        <f>IFERROR(VLOOKUP($B17,'QB Reserve'!$A:$N,H$2,0),"-")</f>
        <v>-</v>
      </c>
      <c r="I17" s="26" t="str">
        <f>IFERROR(VLOOKUP($B17,'QB Reserve'!$A:$N,I$2,0),"-")</f>
        <v>-</v>
      </c>
      <c r="J17" s="26" t="str">
        <f>IFERROR(VLOOKUP($B17,'QB Reserve'!$A:$N,J$2,0),"-")</f>
        <v>-</v>
      </c>
      <c r="K17" s="26" t="str">
        <f>IFERROR(VLOOKUP($B17,'QB Reserve'!$A:$N,K$2,0),"-")</f>
        <v>-</v>
      </c>
      <c r="L17" s="26" t="str">
        <f>IFERROR(VLOOKUP($B17,'QB Reserve'!$A:$N,L$2,0),"-")</f>
        <v>-</v>
      </c>
      <c r="M17" s="26" t="str">
        <f>IFERROR(VLOOKUP($B17,'QB Reserve'!$A:$N,M$2,0),"-")</f>
        <v>-</v>
      </c>
      <c r="N17" s="26" t="str">
        <f>IFERROR(VLOOKUP($B17,'QB Reserve'!$A:$N,N$2,0),"-")</f>
        <v>-</v>
      </c>
      <c r="O17" s="15"/>
      <c r="P17" s="24" t="str">
        <f>IFERROR(VLOOKUP(B17,'QB Reserve'!A:P,16,0),"-")</f>
        <v>-</v>
      </c>
      <c r="Q17" s="15" t="str">
        <f>IFERROR(VLOOKUP(B17,'QB Reserve'!A:Q,17,0),"-")</f>
        <v>-</v>
      </c>
      <c r="R17" s="16" t="str">
        <f>IFERROR(VLOOKUP(B17,'QB Reserve'!A:T,20,0),"-")</f>
        <v>-</v>
      </c>
    </row>
    <row r="18" spans="1:18" ht="33.75" hidden="1" customHeight="1" x14ac:dyDescent="0.25">
      <c r="A18" s="15" t="str">
        <f t="shared" si="1"/>
        <v>-</v>
      </c>
      <c r="B18" s="17"/>
      <c r="C18" s="15" t="str">
        <f>IFERROR(VLOOKUP(B18,'QB Reserve'!A:B,2,0),"-")</f>
        <v>-</v>
      </c>
      <c r="D18" s="6" t="str">
        <f>IFERROR(VLOOKUP(B18,'QB Reserve'!A:C,3,0),"-")</f>
        <v>-</v>
      </c>
      <c r="E18" s="26" t="str">
        <f>IFERROR(VLOOKUP($B18,'QB Reserve'!$A:$N,E$2,0),"-")</f>
        <v>-</v>
      </c>
      <c r="F18" s="26" t="str">
        <f>IFERROR(VLOOKUP($B18,'QB Reserve'!$A:$N,F$2,0),"-")</f>
        <v>-</v>
      </c>
      <c r="G18" s="26" t="str">
        <f>IFERROR(VLOOKUP($B18,'QB Reserve'!$A:$N,G$2,0),"-")</f>
        <v>-</v>
      </c>
      <c r="H18" s="26" t="str">
        <f>IFERROR(VLOOKUP($B18,'QB Reserve'!$A:$N,H$2,0),"-")</f>
        <v>-</v>
      </c>
      <c r="I18" s="26" t="str">
        <f>IFERROR(VLOOKUP($B18,'QB Reserve'!$A:$N,I$2,0),"-")</f>
        <v>-</v>
      </c>
      <c r="J18" s="26" t="str">
        <f>IFERROR(VLOOKUP($B18,'QB Reserve'!$A:$N,J$2,0),"-")</f>
        <v>-</v>
      </c>
      <c r="K18" s="26" t="str">
        <f>IFERROR(VLOOKUP($B18,'QB Reserve'!$A:$N,K$2,0),"-")</f>
        <v>-</v>
      </c>
      <c r="L18" s="26" t="str">
        <f>IFERROR(VLOOKUP($B18,'QB Reserve'!$A:$N,L$2,0),"-")</f>
        <v>-</v>
      </c>
      <c r="M18" s="26" t="str">
        <f>IFERROR(VLOOKUP($B18,'QB Reserve'!$A:$N,M$2,0),"-")</f>
        <v>-</v>
      </c>
      <c r="N18" s="26" t="str">
        <f>IFERROR(VLOOKUP($B18,'QB Reserve'!$A:$N,N$2,0),"-")</f>
        <v>-</v>
      </c>
      <c r="O18" s="15"/>
      <c r="P18" s="24" t="str">
        <f>IFERROR(VLOOKUP(B18,'QB Reserve'!A:P,16,0),"-")</f>
        <v>-</v>
      </c>
      <c r="Q18" s="15" t="str">
        <f>IFERROR(VLOOKUP(B18,'QB Reserve'!A:Q,17,0),"-")</f>
        <v>-</v>
      </c>
      <c r="R18" s="16" t="str">
        <f>IFERROR(VLOOKUP(B18,'QB Reserve'!A:T,20,0),"-")</f>
        <v>-</v>
      </c>
    </row>
    <row r="19" spans="1:18" ht="33.75" hidden="1" customHeight="1" x14ac:dyDescent="0.25">
      <c r="A19" s="15" t="str">
        <f t="shared" si="1"/>
        <v>-</v>
      </c>
      <c r="B19" s="17"/>
      <c r="C19" s="15" t="str">
        <f>IFERROR(VLOOKUP(B19,'QB Reserve'!A:B,2,0),"-")</f>
        <v>-</v>
      </c>
      <c r="D19" s="6" t="str">
        <f>IFERROR(VLOOKUP(B19,'QB Reserve'!A:C,3,0),"-")</f>
        <v>-</v>
      </c>
      <c r="E19" s="26" t="str">
        <f>IFERROR(VLOOKUP($B19,'QB Reserve'!$A:$N,E$2,0),"-")</f>
        <v>-</v>
      </c>
      <c r="F19" s="26" t="str">
        <f>IFERROR(VLOOKUP($B19,'QB Reserve'!$A:$N,F$2,0),"-")</f>
        <v>-</v>
      </c>
      <c r="G19" s="26" t="str">
        <f>IFERROR(VLOOKUP($B19,'QB Reserve'!$A:$N,G$2,0),"-")</f>
        <v>-</v>
      </c>
      <c r="H19" s="26" t="str">
        <f>IFERROR(VLOOKUP($B19,'QB Reserve'!$A:$N,H$2,0),"-")</f>
        <v>-</v>
      </c>
      <c r="I19" s="26" t="str">
        <f>IFERROR(VLOOKUP($B19,'QB Reserve'!$A:$N,I$2,0),"-")</f>
        <v>-</v>
      </c>
      <c r="J19" s="26" t="str">
        <f>IFERROR(VLOOKUP($B19,'QB Reserve'!$A:$N,J$2,0),"-")</f>
        <v>-</v>
      </c>
      <c r="K19" s="26" t="str">
        <f>IFERROR(VLOOKUP($B19,'QB Reserve'!$A:$N,K$2,0),"-")</f>
        <v>-</v>
      </c>
      <c r="L19" s="26" t="str">
        <f>IFERROR(VLOOKUP($B19,'QB Reserve'!$A:$N,L$2,0),"-")</f>
        <v>-</v>
      </c>
      <c r="M19" s="26" t="str">
        <f>IFERROR(VLOOKUP($B19,'QB Reserve'!$A:$N,M$2,0),"-")</f>
        <v>-</v>
      </c>
      <c r="N19" s="26" t="str">
        <f>IFERROR(VLOOKUP($B19,'QB Reserve'!$A:$N,N$2,0),"-")</f>
        <v>-</v>
      </c>
      <c r="O19" s="15"/>
      <c r="P19" s="24" t="str">
        <f>IFERROR(VLOOKUP(B19,'QB Reserve'!A:P,16,0),"-")</f>
        <v>-</v>
      </c>
      <c r="Q19" s="15" t="str">
        <f>IFERROR(VLOOKUP(B19,'QB Reserve'!A:Q,17,0),"-")</f>
        <v>-</v>
      </c>
      <c r="R19" s="16" t="str">
        <f>IFERROR(VLOOKUP(B19,'QB Reserve'!A:T,20,0),"-")</f>
        <v>-</v>
      </c>
    </row>
    <row r="20" spans="1:18" ht="33.75" hidden="1" customHeight="1" x14ac:dyDescent="0.25">
      <c r="A20" s="15" t="str">
        <f t="shared" si="1"/>
        <v>-</v>
      </c>
      <c r="B20" s="17"/>
      <c r="C20" s="15" t="str">
        <f>IFERROR(VLOOKUP(B20,'QB Reserve'!A:B,2,0),"-")</f>
        <v>-</v>
      </c>
      <c r="D20" s="6" t="str">
        <f>IFERROR(VLOOKUP(B20,'QB Reserve'!A:C,3,0),"-")</f>
        <v>-</v>
      </c>
      <c r="E20" s="26" t="str">
        <f>IFERROR(VLOOKUP($B20,'QB Reserve'!$A:$N,E$2,0),"-")</f>
        <v>-</v>
      </c>
      <c r="F20" s="26" t="str">
        <f>IFERROR(VLOOKUP($B20,'QB Reserve'!$A:$N,F$2,0),"-")</f>
        <v>-</v>
      </c>
      <c r="G20" s="26" t="str">
        <f>IFERROR(VLOOKUP($B20,'QB Reserve'!$A:$N,G$2,0),"-")</f>
        <v>-</v>
      </c>
      <c r="H20" s="26" t="str">
        <f>IFERROR(VLOOKUP($B20,'QB Reserve'!$A:$N,H$2,0),"-")</f>
        <v>-</v>
      </c>
      <c r="I20" s="26" t="str">
        <f>IFERROR(VLOOKUP($B20,'QB Reserve'!$A:$N,I$2,0),"-")</f>
        <v>-</v>
      </c>
      <c r="J20" s="26" t="str">
        <f>IFERROR(VLOOKUP($B20,'QB Reserve'!$A:$N,J$2,0),"-")</f>
        <v>-</v>
      </c>
      <c r="K20" s="26" t="str">
        <f>IFERROR(VLOOKUP($B20,'QB Reserve'!$A:$N,K$2,0),"-")</f>
        <v>-</v>
      </c>
      <c r="L20" s="26" t="str">
        <f>IFERROR(VLOOKUP($B20,'QB Reserve'!$A:$N,L$2,0),"-")</f>
        <v>-</v>
      </c>
      <c r="M20" s="26" t="str">
        <f>IFERROR(VLOOKUP($B20,'QB Reserve'!$A:$N,M$2,0),"-")</f>
        <v>-</v>
      </c>
      <c r="N20" s="26" t="str">
        <f>IFERROR(VLOOKUP($B20,'QB Reserve'!$A:$N,N$2,0),"-")</f>
        <v>-</v>
      </c>
      <c r="O20" s="15"/>
      <c r="P20" s="24" t="str">
        <f>IFERROR(VLOOKUP(B20,'QB Reserve'!A:P,16,0),"-")</f>
        <v>-</v>
      </c>
      <c r="Q20" s="15" t="str">
        <f>IFERROR(VLOOKUP(B20,'QB Reserve'!A:Q,17,0),"-")</f>
        <v>-</v>
      </c>
      <c r="R20" s="16" t="str">
        <f>IFERROR(VLOOKUP(B20,'QB Reserve'!A:T,20,0),"-")</f>
        <v>-</v>
      </c>
    </row>
    <row r="21" spans="1:18" ht="33.75" hidden="1" customHeight="1" x14ac:dyDescent="0.25">
      <c r="A21" s="15" t="str">
        <f t="shared" si="1"/>
        <v>-</v>
      </c>
      <c r="B21" s="17"/>
      <c r="C21" s="15" t="str">
        <f>IFERROR(VLOOKUP(B21,'QB Reserve'!A:B,2,0),"-")</f>
        <v>-</v>
      </c>
      <c r="D21" s="6" t="str">
        <f>IFERROR(VLOOKUP(B21,'QB Reserve'!A:C,3,0),"-")</f>
        <v>-</v>
      </c>
      <c r="E21" s="26" t="str">
        <f>IFERROR(VLOOKUP($B21,'QB Reserve'!$A:$N,E$2,0),"-")</f>
        <v>-</v>
      </c>
      <c r="F21" s="26" t="str">
        <f>IFERROR(VLOOKUP($B21,'QB Reserve'!$A:$N,F$2,0),"-")</f>
        <v>-</v>
      </c>
      <c r="G21" s="26" t="str">
        <f>IFERROR(VLOOKUP($B21,'QB Reserve'!$A:$N,G$2,0),"-")</f>
        <v>-</v>
      </c>
      <c r="H21" s="26" t="str">
        <f>IFERROR(VLOOKUP($B21,'QB Reserve'!$A:$N,H$2,0),"-")</f>
        <v>-</v>
      </c>
      <c r="I21" s="26" t="str">
        <f>IFERROR(VLOOKUP($B21,'QB Reserve'!$A:$N,I$2,0),"-")</f>
        <v>-</v>
      </c>
      <c r="J21" s="26" t="str">
        <f>IFERROR(VLOOKUP($B21,'QB Reserve'!$A:$N,J$2,0),"-")</f>
        <v>-</v>
      </c>
      <c r="K21" s="26" t="str">
        <f>IFERROR(VLOOKUP($B21,'QB Reserve'!$A:$N,K$2,0),"-")</f>
        <v>-</v>
      </c>
      <c r="L21" s="26" t="str">
        <f>IFERROR(VLOOKUP($B21,'QB Reserve'!$A:$N,L$2,0),"-")</f>
        <v>-</v>
      </c>
      <c r="M21" s="26" t="str">
        <f>IFERROR(VLOOKUP($B21,'QB Reserve'!$A:$N,M$2,0),"-")</f>
        <v>-</v>
      </c>
      <c r="N21" s="26" t="str">
        <f>IFERROR(VLOOKUP($B21,'QB Reserve'!$A:$N,N$2,0),"-")</f>
        <v>-</v>
      </c>
      <c r="O21" s="15"/>
      <c r="P21" s="24" t="str">
        <f>IFERROR(VLOOKUP(B21,'QB Reserve'!A:P,16,0),"-")</f>
        <v>-</v>
      </c>
      <c r="Q21" s="15" t="str">
        <f>IFERROR(VLOOKUP(B21,'QB Reserve'!A:Q,17,0),"-")</f>
        <v>-</v>
      </c>
      <c r="R21" s="16" t="str">
        <f>IFERROR(VLOOKUP(B21,'QB Reserve'!A:T,20,0),"-")</f>
        <v>-</v>
      </c>
    </row>
    <row r="22" spans="1:18" ht="33.75" hidden="1" customHeight="1" x14ac:dyDescent="0.25">
      <c r="A22" s="15" t="str">
        <f t="shared" si="1"/>
        <v>-</v>
      </c>
      <c r="B22" s="17"/>
      <c r="C22" s="15" t="str">
        <f>IFERROR(VLOOKUP(B22,'QB Reserve'!A:B,2,0),"-")</f>
        <v>-</v>
      </c>
      <c r="D22" s="6" t="str">
        <f>IFERROR(VLOOKUP(B22,'QB Reserve'!A:C,3,0),"-")</f>
        <v>-</v>
      </c>
      <c r="E22" s="26" t="str">
        <f>IFERROR(VLOOKUP($B22,'QB Reserve'!$A:$N,E$2,0),"-")</f>
        <v>-</v>
      </c>
      <c r="F22" s="26" t="str">
        <f>IFERROR(VLOOKUP($B22,'QB Reserve'!$A:$N,F$2,0),"-")</f>
        <v>-</v>
      </c>
      <c r="G22" s="26" t="str">
        <f>IFERROR(VLOOKUP($B22,'QB Reserve'!$A:$N,G$2,0),"-")</f>
        <v>-</v>
      </c>
      <c r="H22" s="26" t="str">
        <f>IFERROR(VLOOKUP($B22,'QB Reserve'!$A:$N,H$2,0),"-")</f>
        <v>-</v>
      </c>
      <c r="I22" s="26" t="str">
        <f>IFERROR(VLOOKUP($B22,'QB Reserve'!$A:$N,I$2,0),"-")</f>
        <v>-</v>
      </c>
      <c r="J22" s="26" t="str">
        <f>IFERROR(VLOOKUP($B22,'QB Reserve'!$A:$N,J$2,0),"-")</f>
        <v>-</v>
      </c>
      <c r="K22" s="26" t="str">
        <f>IFERROR(VLOOKUP($B22,'QB Reserve'!$A:$N,K$2,0),"-")</f>
        <v>-</v>
      </c>
      <c r="L22" s="26" t="str">
        <f>IFERROR(VLOOKUP($B22,'QB Reserve'!$A:$N,L$2,0),"-")</f>
        <v>-</v>
      </c>
      <c r="M22" s="26" t="str">
        <f>IFERROR(VLOOKUP($B22,'QB Reserve'!$A:$N,M$2,0),"-")</f>
        <v>-</v>
      </c>
      <c r="N22" s="26" t="str">
        <f>IFERROR(VLOOKUP($B22,'QB Reserve'!$A:$N,N$2,0),"-")</f>
        <v>-</v>
      </c>
      <c r="O22" s="15"/>
      <c r="P22" s="24" t="str">
        <f>IFERROR(VLOOKUP(B22,'QB Reserve'!A:P,16,0),"-")</f>
        <v>-</v>
      </c>
      <c r="Q22" s="15" t="str">
        <f>IFERROR(VLOOKUP(B22,'QB Reserve'!A:Q,17,0),"-")</f>
        <v>-</v>
      </c>
      <c r="R22" s="16" t="str">
        <f>IFERROR(VLOOKUP(B22,'QB Reserve'!A:T,20,0),"-")</f>
        <v>-</v>
      </c>
    </row>
    <row r="23" spans="1:18" ht="33.75" hidden="1" customHeight="1" x14ac:dyDescent="0.25">
      <c r="A23" s="15" t="str">
        <f t="shared" si="1"/>
        <v>-</v>
      </c>
      <c r="B23" s="17"/>
      <c r="C23" s="15" t="str">
        <f>IFERROR(VLOOKUP(B23,'QB Reserve'!A:B,2,0),"-")</f>
        <v>-</v>
      </c>
      <c r="D23" s="6" t="str">
        <f>IFERROR(VLOOKUP(B23,'QB Reserve'!A:C,3,0),"-")</f>
        <v>-</v>
      </c>
      <c r="E23" s="26" t="str">
        <f>IFERROR(VLOOKUP($B23,'QB Reserve'!$A:$N,E$2,0),"-")</f>
        <v>-</v>
      </c>
      <c r="F23" s="26" t="str">
        <f>IFERROR(VLOOKUP($B23,'QB Reserve'!$A:$N,F$2,0),"-")</f>
        <v>-</v>
      </c>
      <c r="G23" s="26" t="str">
        <f>IFERROR(VLOOKUP($B23,'QB Reserve'!$A:$N,G$2,0),"-")</f>
        <v>-</v>
      </c>
      <c r="H23" s="26" t="str">
        <f>IFERROR(VLOOKUP($B23,'QB Reserve'!$A:$N,H$2,0),"-")</f>
        <v>-</v>
      </c>
      <c r="I23" s="26" t="str">
        <f>IFERROR(VLOOKUP($B23,'QB Reserve'!$A:$N,I$2,0),"-")</f>
        <v>-</v>
      </c>
      <c r="J23" s="26" t="str">
        <f>IFERROR(VLOOKUP($B23,'QB Reserve'!$A:$N,J$2,0),"-")</f>
        <v>-</v>
      </c>
      <c r="K23" s="26" t="str">
        <f>IFERROR(VLOOKUP($B23,'QB Reserve'!$A:$N,K$2,0),"-")</f>
        <v>-</v>
      </c>
      <c r="L23" s="26" t="str">
        <f>IFERROR(VLOOKUP($B23,'QB Reserve'!$A:$N,L$2,0),"-")</f>
        <v>-</v>
      </c>
      <c r="M23" s="26" t="str">
        <f>IFERROR(VLOOKUP($B23,'QB Reserve'!$A:$N,M$2,0),"-")</f>
        <v>-</v>
      </c>
      <c r="N23" s="26" t="str">
        <f>IFERROR(VLOOKUP($B23,'QB Reserve'!$A:$N,N$2,0),"-")</f>
        <v>-</v>
      </c>
      <c r="O23" s="15"/>
      <c r="P23" s="24" t="str">
        <f>IFERROR(VLOOKUP(B23,'QB Reserve'!A:P,16,0),"-")</f>
        <v>-</v>
      </c>
      <c r="Q23" s="15" t="str">
        <f>IFERROR(VLOOKUP(B23,'QB Reserve'!A:Q,17,0),"-")</f>
        <v>-</v>
      </c>
      <c r="R23" s="16" t="str">
        <f>IFERROR(VLOOKUP(B23,'QB Reserve'!A:T,20,0),"-")</f>
        <v>-</v>
      </c>
    </row>
    <row r="24" spans="1:18" ht="33.75" hidden="1" customHeight="1" x14ac:dyDescent="0.25">
      <c r="A24" s="15" t="str">
        <f t="shared" si="1"/>
        <v>-</v>
      </c>
      <c r="B24" s="17"/>
      <c r="C24" s="15" t="str">
        <f>IFERROR(VLOOKUP(B24,'QB Reserve'!A:B,2,0),"-")</f>
        <v>-</v>
      </c>
      <c r="D24" s="6" t="str">
        <f>IFERROR(VLOOKUP(B24,'QB Reserve'!A:C,3,0),"-")</f>
        <v>-</v>
      </c>
      <c r="E24" s="26" t="str">
        <f>IFERROR(VLOOKUP($B24,'QB Reserve'!$A:$N,E$2,0),"-")</f>
        <v>-</v>
      </c>
      <c r="F24" s="26" t="str">
        <f>IFERROR(VLOOKUP($B24,'QB Reserve'!$A:$N,F$2,0),"-")</f>
        <v>-</v>
      </c>
      <c r="G24" s="26" t="str">
        <f>IFERROR(VLOOKUP($B24,'QB Reserve'!$A:$N,G$2,0),"-")</f>
        <v>-</v>
      </c>
      <c r="H24" s="26" t="str">
        <f>IFERROR(VLOOKUP($B24,'QB Reserve'!$A:$N,H$2,0),"-")</f>
        <v>-</v>
      </c>
      <c r="I24" s="26" t="str">
        <f>IFERROR(VLOOKUP($B24,'QB Reserve'!$A:$N,I$2,0),"-")</f>
        <v>-</v>
      </c>
      <c r="J24" s="26" t="str">
        <f>IFERROR(VLOOKUP($B24,'QB Reserve'!$A:$N,J$2,0),"-")</f>
        <v>-</v>
      </c>
      <c r="K24" s="26" t="str">
        <f>IFERROR(VLOOKUP($B24,'QB Reserve'!$A:$N,K$2,0),"-")</f>
        <v>-</v>
      </c>
      <c r="L24" s="26" t="str">
        <f>IFERROR(VLOOKUP($B24,'QB Reserve'!$A:$N,L$2,0),"-")</f>
        <v>-</v>
      </c>
      <c r="M24" s="26" t="str">
        <f>IFERROR(VLOOKUP($B24,'QB Reserve'!$A:$N,M$2,0),"-")</f>
        <v>-</v>
      </c>
      <c r="N24" s="26" t="str">
        <f>IFERROR(VLOOKUP($B24,'QB Reserve'!$A:$N,N$2,0),"-")</f>
        <v>-</v>
      </c>
      <c r="O24" s="15"/>
      <c r="P24" s="24" t="str">
        <f>IFERROR(VLOOKUP(B24,'QB Reserve'!A:P,16,0),"-")</f>
        <v>-</v>
      </c>
      <c r="Q24" s="15" t="str">
        <f>IFERROR(VLOOKUP(B24,'QB Reserve'!A:Q,17,0),"-")</f>
        <v>-</v>
      </c>
      <c r="R24" s="16" t="str">
        <f>IFERROR(VLOOKUP(B24,'QB Reserve'!A:T,20,0),"-")</f>
        <v>-</v>
      </c>
    </row>
    <row r="25" spans="1:18" ht="33.75" hidden="1" customHeight="1" x14ac:dyDescent="0.25">
      <c r="A25" s="15" t="str">
        <f t="shared" si="1"/>
        <v>-</v>
      </c>
      <c r="B25" s="17"/>
      <c r="C25" s="15" t="str">
        <f>IFERROR(VLOOKUP(B25,'QB Reserve'!A:B,2,0),"-")</f>
        <v>-</v>
      </c>
      <c r="D25" s="6" t="str">
        <f>IFERROR(VLOOKUP(B25,'QB Reserve'!A:C,3,0),"-")</f>
        <v>-</v>
      </c>
      <c r="E25" s="26" t="str">
        <f>IFERROR(VLOOKUP($B25,'QB Reserve'!$A:$N,E$2,0),"-")</f>
        <v>-</v>
      </c>
      <c r="F25" s="26" t="str">
        <f>IFERROR(VLOOKUP($B25,'QB Reserve'!$A:$N,F$2,0),"-")</f>
        <v>-</v>
      </c>
      <c r="G25" s="26" t="str">
        <f>IFERROR(VLOOKUP($B25,'QB Reserve'!$A:$N,G$2,0),"-")</f>
        <v>-</v>
      </c>
      <c r="H25" s="26" t="str">
        <f>IFERROR(VLOOKUP($B25,'QB Reserve'!$A:$N,H$2,0),"-")</f>
        <v>-</v>
      </c>
      <c r="I25" s="26" t="str">
        <f>IFERROR(VLOOKUP($B25,'QB Reserve'!$A:$N,I$2,0),"-")</f>
        <v>-</v>
      </c>
      <c r="J25" s="26" t="str">
        <f>IFERROR(VLOOKUP($B25,'QB Reserve'!$A:$N,J$2,0),"-")</f>
        <v>-</v>
      </c>
      <c r="K25" s="26" t="str">
        <f>IFERROR(VLOOKUP($B25,'QB Reserve'!$A:$N,K$2,0),"-")</f>
        <v>-</v>
      </c>
      <c r="L25" s="26" t="str">
        <f>IFERROR(VLOOKUP($B25,'QB Reserve'!$A:$N,L$2,0),"-")</f>
        <v>-</v>
      </c>
      <c r="M25" s="26" t="str">
        <f>IFERROR(VLOOKUP($B25,'QB Reserve'!$A:$N,M$2,0),"-")</f>
        <v>-</v>
      </c>
      <c r="N25" s="26" t="str">
        <f>IFERROR(VLOOKUP($B25,'QB Reserve'!$A:$N,N$2,0),"-")</f>
        <v>-</v>
      </c>
      <c r="O25" s="15"/>
      <c r="P25" s="24" t="str">
        <f>IFERROR(VLOOKUP(B25,'QB Reserve'!A:P,16,0),"-")</f>
        <v>-</v>
      </c>
      <c r="Q25" s="15" t="str">
        <f>IFERROR(VLOOKUP(B25,'QB Reserve'!A:Q,17,0),"-")</f>
        <v>-</v>
      </c>
      <c r="R25" s="16" t="str">
        <f>IFERROR(VLOOKUP(B25,'QB Reserve'!A:T,20,0),"-")</f>
        <v>-</v>
      </c>
    </row>
    <row r="26" spans="1:18" ht="33.75" hidden="1" customHeight="1" x14ac:dyDescent="0.25">
      <c r="A26" s="15" t="str">
        <f t="shared" si="1"/>
        <v>-</v>
      </c>
      <c r="B26" s="17"/>
      <c r="C26" s="15" t="str">
        <f>IFERROR(VLOOKUP(B26,'QB Reserve'!A:B,2,0),"-")</f>
        <v>-</v>
      </c>
      <c r="D26" s="6" t="str">
        <f>IFERROR(VLOOKUP(B26,'QB Reserve'!A:C,3,0),"-")</f>
        <v>-</v>
      </c>
      <c r="E26" s="26" t="str">
        <f>IFERROR(VLOOKUP($B26,'QB Reserve'!$A:$N,E$2,0),"-")</f>
        <v>-</v>
      </c>
      <c r="F26" s="26" t="str">
        <f>IFERROR(VLOOKUP($B26,'QB Reserve'!$A:$N,F$2,0),"-")</f>
        <v>-</v>
      </c>
      <c r="G26" s="26" t="str">
        <f>IFERROR(VLOOKUP($B26,'QB Reserve'!$A:$N,G$2,0),"-")</f>
        <v>-</v>
      </c>
      <c r="H26" s="26" t="str">
        <f>IFERROR(VLOOKUP($B26,'QB Reserve'!$A:$N,H$2,0),"-")</f>
        <v>-</v>
      </c>
      <c r="I26" s="26" t="str">
        <f>IFERROR(VLOOKUP($B26,'QB Reserve'!$A:$N,I$2,0),"-")</f>
        <v>-</v>
      </c>
      <c r="J26" s="26" t="str">
        <f>IFERROR(VLOOKUP($B26,'QB Reserve'!$A:$N,J$2,0),"-")</f>
        <v>-</v>
      </c>
      <c r="K26" s="26" t="str">
        <f>IFERROR(VLOOKUP($B26,'QB Reserve'!$A:$N,K$2,0),"-")</f>
        <v>-</v>
      </c>
      <c r="L26" s="26" t="str">
        <f>IFERROR(VLOOKUP($B26,'QB Reserve'!$A:$N,L$2,0),"-")</f>
        <v>-</v>
      </c>
      <c r="M26" s="26" t="str">
        <f>IFERROR(VLOOKUP($B26,'QB Reserve'!$A:$N,M$2,0),"-")</f>
        <v>-</v>
      </c>
      <c r="N26" s="26" t="str">
        <f>IFERROR(VLOOKUP($B26,'QB Reserve'!$A:$N,N$2,0),"-")</f>
        <v>-</v>
      </c>
      <c r="O26" s="15"/>
      <c r="P26" s="24" t="str">
        <f>IFERROR(VLOOKUP(B26,'QB Reserve'!A:P,16,0),"-")</f>
        <v>-</v>
      </c>
      <c r="Q26" s="15" t="str">
        <f>IFERROR(VLOOKUP(B26,'QB Reserve'!A:Q,17,0),"-")</f>
        <v>-</v>
      </c>
      <c r="R26" s="16" t="str">
        <f>IFERROR(VLOOKUP(B26,'QB Reserve'!A:T,20,0),"-")</f>
        <v>-</v>
      </c>
    </row>
    <row r="27" spans="1:18" ht="33.75" hidden="1" customHeight="1" x14ac:dyDescent="0.25">
      <c r="A27" s="15" t="str">
        <f t="shared" si="1"/>
        <v>-</v>
      </c>
      <c r="B27" s="17"/>
      <c r="C27" s="15" t="str">
        <f>IFERROR(VLOOKUP(B27,'QB Reserve'!A:B,2,0),"-")</f>
        <v>-</v>
      </c>
      <c r="D27" s="6" t="str">
        <f>IFERROR(VLOOKUP(B27,'QB Reserve'!A:C,3,0),"-")</f>
        <v>-</v>
      </c>
      <c r="E27" s="26" t="str">
        <f>IFERROR(VLOOKUP($B27,'QB Reserve'!$A:$N,E$2,0),"-")</f>
        <v>-</v>
      </c>
      <c r="F27" s="26" t="str">
        <f>IFERROR(VLOOKUP($B27,'QB Reserve'!$A:$N,F$2,0),"-")</f>
        <v>-</v>
      </c>
      <c r="G27" s="26" t="str">
        <f>IFERROR(VLOOKUP($B27,'QB Reserve'!$A:$N,G$2,0),"-")</f>
        <v>-</v>
      </c>
      <c r="H27" s="26" t="str">
        <f>IFERROR(VLOOKUP($B27,'QB Reserve'!$A:$N,H$2,0),"-")</f>
        <v>-</v>
      </c>
      <c r="I27" s="26" t="str">
        <f>IFERROR(VLOOKUP($B27,'QB Reserve'!$A:$N,I$2,0),"-")</f>
        <v>-</v>
      </c>
      <c r="J27" s="26" t="str">
        <f>IFERROR(VLOOKUP($B27,'QB Reserve'!$A:$N,J$2,0),"-")</f>
        <v>-</v>
      </c>
      <c r="K27" s="26" t="str">
        <f>IFERROR(VLOOKUP($B27,'QB Reserve'!$A:$N,K$2,0),"-")</f>
        <v>-</v>
      </c>
      <c r="L27" s="26" t="str">
        <f>IFERROR(VLOOKUP($B27,'QB Reserve'!$A:$N,L$2,0),"-")</f>
        <v>-</v>
      </c>
      <c r="M27" s="26" t="str">
        <f>IFERROR(VLOOKUP($B27,'QB Reserve'!$A:$N,M$2,0),"-")</f>
        <v>-</v>
      </c>
      <c r="N27" s="26" t="str">
        <f>IFERROR(VLOOKUP($B27,'QB Reserve'!$A:$N,N$2,0),"-")</f>
        <v>-</v>
      </c>
      <c r="O27" s="15"/>
      <c r="P27" s="24" t="str">
        <f>IFERROR(VLOOKUP(B27,'QB Reserve'!A:P,16,0),"-")</f>
        <v>-</v>
      </c>
      <c r="Q27" s="15" t="str">
        <f>IFERROR(VLOOKUP(B27,'QB Reserve'!A:Q,17,0),"-")</f>
        <v>-</v>
      </c>
      <c r="R27" s="16" t="str">
        <f>IFERROR(VLOOKUP(B27,'QB Reserve'!A:T,20,0),"-")</f>
        <v>-</v>
      </c>
    </row>
    <row r="28" spans="1:18" ht="33.75" hidden="1" customHeight="1" x14ac:dyDescent="0.25">
      <c r="A28" s="15" t="str">
        <f t="shared" si="1"/>
        <v>-</v>
      </c>
      <c r="B28" s="17"/>
      <c r="C28" s="15" t="str">
        <f>IFERROR(VLOOKUP(B28,'QB Reserve'!A:B,2,0),"-")</f>
        <v>-</v>
      </c>
      <c r="D28" s="6" t="str">
        <f>IFERROR(VLOOKUP(B28,'QB Reserve'!A:C,3,0),"-")</f>
        <v>-</v>
      </c>
      <c r="E28" s="26" t="str">
        <f>IFERROR(VLOOKUP($B28,'QB Reserve'!$A:$N,E$2,0),"-")</f>
        <v>-</v>
      </c>
      <c r="F28" s="26" t="str">
        <f>IFERROR(VLOOKUP($B28,'QB Reserve'!$A:$N,F$2,0),"-")</f>
        <v>-</v>
      </c>
      <c r="G28" s="26" t="str">
        <f>IFERROR(VLOOKUP($B28,'QB Reserve'!$A:$N,G$2,0),"-")</f>
        <v>-</v>
      </c>
      <c r="H28" s="26" t="str">
        <f>IFERROR(VLOOKUP($B28,'QB Reserve'!$A:$N,H$2,0),"-")</f>
        <v>-</v>
      </c>
      <c r="I28" s="26" t="str">
        <f>IFERROR(VLOOKUP($B28,'QB Reserve'!$A:$N,I$2,0),"-")</f>
        <v>-</v>
      </c>
      <c r="J28" s="26" t="str">
        <f>IFERROR(VLOOKUP($B28,'QB Reserve'!$A:$N,J$2,0),"-")</f>
        <v>-</v>
      </c>
      <c r="K28" s="26" t="str">
        <f>IFERROR(VLOOKUP($B28,'QB Reserve'!$A:$N,K$2,0),"-")</f>
        <v>-</v>
      </c>
      <c r="L28" s="26" t="str">
        <f>IFERROR(VLOOKUP($B28,'QB Reserve'!$A:$N,L$2,0),"-")</f>
        <v>-</v>
      </c>
      <c r="M28" s="26" t="str">
        <f>IFERROR(VLOOKUP($B28,'QB Reserve'!$A:$N,M$2,0),"-")</f>
        <v>-</v>
      </c>
      <c r="N28" s="26" t="str">
        <f>IFERROR(VLOOKUP($B28,'QB Reserve'!$A:$N,N$2,0),"-")</f>
        <v>-</v>
      </c>
      <c r="O28" s="15"/>
      <c r="P28" s="24" t="str">
        <f>IFERROR(VLOOKUP(B28,'QB Reserve'!A:P,16,0),"-")</f>
        <v>-</v>
      </c>
      <c r="Q28" s="15" t="str">
        <f>IFERROR(VLOOKUP(B28,'QB Reserve'!A:Q,17,0),"-")</f>
        <v>-</v>
      </c>
      <c r="R28" s="16" t="str">
        <f>IFERROR(VLOOKUP(B28,'QB Reserve'!A:T,20,0),"-")</f>
        <v>-</v>
      </c>
    </row>
    <row r="29" spans="1:18" ht="33.75" hidden="1" customHeight="1" x14ac:dyDescent="0.25">
      <c r="A29" s="15" t="str">
        <f t="shared" si="1"/>
        <v>-</v>
      </c>
      <c r="B29" s="17"/>
      <c r="C29" s="15" t="str">
        <f>IFERROR(VLOOKUP(B29,'QB Reserve'!A:B,2,0),"-")</f>
        <v>-</v>
      </c>
      <c r="D29" s="6" t="str">
        <f>IFERROR(VLOOKUP(B29,'QB Reserve'!A:C,3,0),"-")</f>
        <v>-</v>
      </c>
      <c r="E29" s="26" t="str">
        <f>IFERROR(VLOOKUP($B29,'QB Reserve'!$A:$N,E$2,0),"-")</f>
        <v>-</v>
      </c>
      <c r="F29" s="26" t="str">
        <f>IFERROR(VLOOKUP($B29,'QB Reserve'!$A:$N,F$2,0),"-")</f>
        <v>-</v>
      </c>
      <c r="G29" s="26" t="str">
        <f>IFERROR(VLOOKUP($B29,'QB Reserve'!$A:$N,G$2,0),"-")</f>
        <v>-</v>
      </c>
      <c r="H29" s="26" t="str">
        <f>IFERROR(VLOOKUP($B29,'QB Reserve'!$A:$N,H$2,0),"-")</f>
        <v>-</v>
      </c>
      <c r="I29" s="26" t="str">
        <f>IFERROR(VLOOKUP($B29,'QB Reserve'!$A:$N,I$2,0),"-")</f>
        <v>-</v>
      </c>
      <c r="J29" s="26" t="str">
        <f>IFERROR(VLOOKUP($B29,'QB Reserve'!$A:$N,J$2,0),"-")</f>
        <v>-</v>
      </c>
      <c r="K29" s="26" t="str">
        <f>IFERROR(VLOOKUP($B29,'QB Reserve'!$A:$N,K$2,0),"-")</f>
        <v>-</v>
      </c>
      <c r="L29" s="26" t="str">
        <f>IFERROR(VLOOKUP($B29,'QB Reserve'!$A:$N,L$2,0),"-")</f>
        <v>-</v>
      </c>
      <c r="M29" s="26" t="str">
        <f>IFERROR(VLOOKUP($B29,'QB Reserve'!$A:$N,M$2,0),"-")</f>
        <v>-</v>
      </c>
      <c r="N29" s="26" t="str">
        <f>IFERROR(VLOOKUP($B29,'QB Reserve'!$A:$N,N$2,0),"-")</f>
        <v>-</v>
      </c>
      <c r="O29" s="15"/>
      <c r="P29" s="24" t="str">
        <f>IFERROR(VLOOKUP(B29,'QB Reserve'!A:P,16,0),"-")</f>
        <v>-</v>
      </c>
      <c r="Q29" s="15" t="str">
        <f>IFERROR(VLOOKUP(B29,'QB Reserve'!A:Q,17,0),"-")</f>
        <v>-</v>
      </c>
      <c r="R29" s="16" t="str">
        <f>IFERROR(VLOOKUP(B29,'QB Reserve'!A:T,20,0),"-")</f>
        <v>-</v>
      </c>
    </row>
  </sheetData>
  <mergeCells count="1">
    <mergeCell ref="E3:N3"/>
  </mergeCells>
  <conditionalFormatting sqref="B1 B4:B1048576">
    <cfRule type="duplicateValues" dxfId="28" priority="4"/>
    <cfRule type="duplicateValues" dxfId="27" priority="6"/>
  </conditionalFormatting>
  <conditionalFormatting sqref="E5:N29">
    <cfRule type="cellIs" dxfId="26" priority="5" operator="equal">
      <formula>0</formula>
    </cfRule>
  </conditionalFormatting>
  <conditionalFormatting sqref="B3">
    <cfRule type="duplicateValues" dxfId="15" priority="3"/>
  </conditionalFormatting>
  <conditionalFormatting sqref="B2">
    <cfRule type="duplicateValues" dxfId="9" priority="2"/>
  </conditionalFormatting>
  <conditionalFormatting sqref="B2">
    <cfRule type="duplicateValues" dxfId="8" priority="1"/>
  </conditionalFormatting>
  <dataValidations count="1">
    <dataValidation type="list" allowBlank="1" showInputMessage="1" showErrorMessage="1" sqref="C5:C29" xr:uid="{FB1D4298-8D3E-4FAB-B2B5-1484E8C7093B}">
      <formula1>TopicList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7AB7-3D42-43D4-AF36-FD6C161D4D90}">
  <dimension ref="A1:T29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cols>
    <col min="1" max="1" width="7.28515625" style="3" customWidth="1"/>
    <col min="2" max="2" width="9" style="3" customWidth="1"/>
    <col min="3" max="3" width="18.5703125" style="3" customWidth="1"/>
    <col min="4" max="4" width="59" style="3" customWidth="1"/>
    <col min="5" max="14" width="13" style="9" customWidth="1"/>
    <col min="15" max="15" width="10.5703125" style="9" customWidth="1"/>
    <col min="16" max="16" width="24.140625" style="3" customWidth="1"/>
    <col min="17" max="17" width="20" style="9" customWidth="1"/>
    <col min="18" max="18" width="20" style="3" hidden="1" customWidth="1"/>
  </cols>
  <sheetData>
    <row r="1" spans="1:20" ht="33" customHeight="1" thickBot="1" x14ac:dyDescent="0.3">
      <c r="A1" s="1" t="s">
        <v>58</v>
      </c>
      <c r="B1" s="1"/>
      <c r="C1" s="1"/>
      <c r="D1" s="29" t="s">
        <v>262</v>
      </c>
      <c r="E1" s="20"/>
      <c r="F1" s="22" t="s">
        <v>66</v>
      </c>
      <c r="G1" s="20"/>
      <c r="H1" s="19">
        <f>MAX(A:A)</f>
        <v>17</v>
      </c>
      <c r="I1" s="21"/>
      <c r="J1" s="22" t="s">
        <v>67</v>
      </c>
      <c r="K1" s="21"/>
      <c r="L1" s="19">
        <f>SUM(Q:Q)</f>
        <v>54</v>
      </c>
      <c r="M1" s="20"/>
      <c r="N1" s="22" t="s">
        <v>69</v>
      </c>
      <c r="O1" s="21"/>
      <c r="P1" s="23">
        <f>SUM(R:R)+5</f>
        <v>73</v>
      </c>
      <c r="Q1" s="20"/>
      <c r="R1" s="2"/>
      <c r="S1" s="33" t="s">
        <v>265</v>
      </c>
      <c r="T1" s="33">
        <f>+COUNTIF($S$5:$S$32,S1)</f>
        <v>6</v>
      </c>
    </row>
    <row r="2" spans="1:20" ht="36" customHeight="1" x14ac:dyDescent="0.25">
      <c r="B2" s="34" t="s">
        <v>275</v>
      </c>
      <c r="C2" s="14"/>
      <c r="E2" s="25">
        <v>5</v>
      </c>
      <c r="F2" s="25">
        <v>6</v>
      </c>
      <c r="G2" s="25">
        <v>7</v>
      </c>
      <c r="H2" s="25">
        <v>8</v>
      </c>
      <c r="I2" s="25">
        <v>9</v>
      </c>
      <c r="J2" s="25">
        <v>10</v>
      </c>
      <c r="K2" s="25">
        <v>11</v>
      </c>
      <c r="L2" s="25">
        <v>12</v>
      </c>
      <c r="M2" s="25">
        <v>13</v>
      </c>
      <c r="N2" s="25">
        <v>14</v>
      </c>
      <c r="S2" s="33" t="s">
        <v>266</v>
      </c>
      <c r="T2" s="33">
        <f t="shared" ref="T2:T3" si="0">+COUNTIF($S$5:$S$32,S2)</f>
        <v>6</v>
      </c>
    </row>
    <row r="3" spans="1:20" ht="66" x14ac:dyDescent="0.25">
      <c r="A3" s="13" t="s">
        <v>57</v>
      </c>
      <c r="B3" s="13" t="s">
        <v>270</v>
      </c>
      <c r="C3" s="13" t="s">
        <v>54</v>
      </c>
      <c r="D3" s="13" t="s">
        <v>33</v>
      </c>
      <c r="E3" s="30" t="s">
        <v>38</v>
      </c>
      <c r="F3" s="31"/>
      <c r="G3" s="31"/>
      <c r="H3" s="31"/>
      <c r="I3" s="31"/>
      <c r="J3" s="31"/>
      <c r="K3" s="31"/>
      <c r="L3" s="31"/>
      <c r="M3" s="31"/>
      <c r="N3" s="32"/>
      <c r="O3" s="13" t="s">
        <v>59</v>
      </c>
      <c r="P3" s="13" t="s">
        <v>36</v>
      </c>
      <c r="Q3" s="13" t="s">
        <v>45</v>
      </c>
      <c r="R3" s="13" t="s">
        <v>68</v>
      </c>
      <c r="S3" s="33" t="s">
        <v>267</v>
      </c>
      <c r="T3" s="33">
        <f t="shared" si="0"/>
        <v>5</v>
      </c>
    </row>
    <row r="4" spans="1:20" ht="16.5" x14ac:dyDescent="0.25">
      <c r="A4" s="10"/>
      <c r="B4" s="18" t="s">
        <v>64</v>
      </c>
      <c r="C4" s="10"/>
      <c r="D4" s="10"/>
      <c r="E4" s="10" t="s">
        <v>39</v>
      </c>
      <c r="F4" s="10" t="s">
        <v>40</v>
      </c>
      <c r="G4" s="10">
        <v>3</v>
      </c>
      <c r="H4" s="10">
        <v>4</v>
      </c>
      <c r="I4" s="10">
        <v>5</v>
      </c>
      <c r="J4" s="10">
        <v>6</v>
      </c>
      <c r="K4" s="10">
        <v>7</v>
      </c>
      <c r="L4" s="10">
        <v>8</v>
      </c>
      <c r="M4" s="10">
        <v>9</v>
      </c>
      <c r="N4" s="10">
        <v>10</v>
      </c>
      <c r="O4" s="10"/>
      <c r="P4" s="10"/>
      <c r="Q4" s="10"/>
      <c r="R4" s="10"/>
    </row>
    <row r="5" spans="1:20" ht="33.75" customHeight="1" x14ac:dyDescent="0.25">
      <c r="A5" s="15">
        <f t="shared" ref="A5:A11" si="1">+IF(LEN(D5)&gt;5,A4+1,"-")</f>
        <v>1</v>
      </c>
      <c r="B5" s="17">
        <v>1</v>
      </c>
      <c r="C5" s="15" t="str">
        <f>IFERROR(VLOOKUP(B5,'QB Reserve'!A:B,2,0),"-")</f>
        <v>Maths - Decimals</v>
      </c>
      <c r="D5" s="6" t="str">
        <f>IFERROR(VLOOKUP(B5,'QB Reserve'!A:C,3,0),"-")</f>
        <v>What is the decimal point of 5 in 5.05 number? Select your answer from the below list</v>
      </c>
      <c r="E5" s="26">
        <f>IFERROR(VLOOKUP($B5,'QB Reserve'!$A:$N,E$2,0),"-")</f>
        <v>1</v>
      </c>
      <c r="F5" s="26">
        <f>IFERROR(VLOOKUP($B5,'QB Reserve'!$A:$N,F$2,0),"-")</f>
        <v>2</v>
      </c>
      <c r="G5" s="26">
        <f>IFERROR(VLOOKUP($B5,'QB Reserve'!$A:$N,G$2,0),"-")</f>
        <v>0</v>
      </c>
      <c r="H5" s="26">
        <f>IFERROR(VLOOKUP($B5,'QB Reserve'!$A:$N,H$2,0),"-")</f>
        <v>0</v>
      </c>
      <c r="I5" s="26">
        <f>IFERROR(VLOOKUP($B5,'QB Reserve'!$A:$N,I$2,0),"-")</f>
        <v>0</v>
      </c>
      <c r="J5" s="26">
        <f>IFERROR(VLOOKUP($B5,'QB Reserve'!$A:$N,J$2,0),"-")</f>
        <v>0</v>
      </c>
      <c r="K5" s="26">
        <f>IFERROR(VLOOKUP($B5,'QB Reserve'!$A:$N,K$2,0),"-")</f>
        <v>0</v>
      </c>
      <c r="L5" s="26">
        <f>IFERROR(VLOOKUP($B5,'QB Reserve'!$A:$N,L$2,0),"-")</f>
        <v>0</v>
      </c>
      <c r="M5" s="26">
        <f>IFERROR(VLOOKUP($B5,'QB Reserve'!$A:$N,M$2,0),"-")</f>
        <v>0</v>
      </c>
      <c r="N5" s="26">
        <f>IFERROR(VLOOKUP($B5,'QB Reserve'!$A:$N,N$2,0),"-")</f>
        <v>0</v>
      </c>
      <c r="O5" s="15"/>
      <c r="P5" s="24" t="str">
        <f>IFERROR(VLOOKUP(B5,'QB Reserve'!A:P,16,0),"-")</f>
        <v>Count numbers from right to left</v>
      </c>
      <c r="Q5" s="15">
        <f>IFERROR(VLOOKUP(B5,'QB Reserve'!A:Q,17,0),"-")</f>
        <v>1</v>
      </c>
      <c r="R5" s="16">
        <f>IFERROR(VLOOKUP(B5,'QB Reserve'!A:T,20,0),"-")</f>
        <v>1</v>
      </c>
      <c r="S5" t="str">
        <f>+VLOOKUP(B5,'QB Reserve'!A:W,23,0)</f>
        <v>User 1</v>
      </c>
    </row>
    <row r="6" spans="1:20" ht="33.75" customHeight="1" x14ac:dyDescent="0.25">
      <c r="A6" s="15">
        <f t="shared" si="1"/>
        <v>2</v>
      </c>
      <c r="B6" s="17">
        <v>2</v>
      </c>
      <c r="C6" s="15" t="str">
        <f>IFERROR(VLOOKUP(B6,'QB Reserve'!A:B,2,0),"-")</f>
        <v>Maths - Decimals</v>
      </c>
      <c r="D6" s="6" t="str">
        <f>IFERROR(VLOOKUP(B6,'QB Reserve'!A:C,3,0),"-")</f>
        <v>How many decimal points remain when 5.236 is multiplied with 100</v>
      </c>
      <c r="E6" s="26">
        <f>IFERROR(VLOOKUP($B6,'QB Reserve'!$A:$N,E$2,0),"-")</f>
        <v>0</v>
      </c>
      <c r="F6" s="26">
        <f>IFERROR(VLOOKUP($B6,'QB Reserve'!$A:$N,F$2,0),"-")</f>
        <v>1</v>
      </c>
      <c r="G6" s="26">
        <f>IFERROR(VLOOKUP($B6,'QB Reserve'!$A:$N,G$2,0),"-")</f>
        <v>2</v>
      </c>
      <c r="H6" s="26">
        <f>IFERROR(VLOOKUP($B6,'QB Reserve'!$A:$N,H$2,0),"-")</f>
        <v>3</v>
      </c>
      <c r="I6" s="26">
        <f>IFERROR(VLOOKUP($B6,'QB Reserve'!$A:$N,I$2,0),"-")</f>
        <v>0</v>
      </c>
      <c r="J6" s="26">
        <f>IFERROR(VLOOKUP($B6,'QB Reserve'!$A:$N,J$2,0),"-")</f>
        <v>0</v>
      </c>
      <c r="K6" s="26">
        <f>IFERROR(VLOOKUP($B6,'QB Reserve'!$A:$N,K$2,0),"-")</f>
        <v>0</v>
      </c>
      <c r="L6" s="26">
        <f>IFERROR(VLOOKUP($B6,'QB Reserve'!$A:$N,L$2,0),"-")</f>
        <v>0</v>
      </c>
      <c r="M6" s="26">
        <f>IFERROR(VLOOKUP($B6,'QB Reserve'!$A:$N,M$2,0),"-")</f>
        <v>0</v>
      </c>
      <c r="N6" s="26">
        <f>IFERROR(VLOOKUP($B6,'QB Reserve'!$A:$N,N$2,0),"-")</f>
        <v>0</v>
      </c>
      <c r="O6" s="15"/>
      <c r="P6" s="24" t="str">
        <f>IFERROR(VLOOKUP(B6,'QB Reserve'!A:P,16,0),"-")</f>
        <v>Multiply by 100 and check number of digits after decimal point</v>
      </c>
      <c r="Q6" s="15">
        <f>IFERROR(VLOOKUP(B6,'QB Reserve'!A:Q,17,0),"-")</f>
        <v>2</v>
      </c>
      <c r="R6" s="16" t="str">
        <f>IFERROR(VLOOKUP(B6,'QB Reserve'!A:T,20,0),"-")</f>
        <v>1 mins</v>
      </c>
      <c r="S6" t="str">
        <f>+VLOOKUP(B6,'QB Reserve'!A:W,23,0)</f>
        <v>User 2</v>
      </c>
    </row>
    <row r="7" spans="1:20" ht="33.75" customHeight="1" x14ac:dyDescent="0.25">
      <c r="A7" s="15">
        <f t="shared" si="1"/>
        <v>3</v>
      </c>
      <c r="B7" s="17">
        <v>5</v>
      </c>
      <c r="C7" s="15" t="str">
        <f>IFERROR(VLOOKUP(B7,'QB Reserve'!A:B,2,0),"-")</f>
        <v>Maths - Addition/ Subtraction</v>
      </c>
      <c r="D7" s="6" t="str">
        <f>IFERROR(VLOOKUP(B7,'QB Reserve'!A:C,3,0),"-")</f>
        <v>What will be the result if 256 is added to 200?</v>
      </c>
      <c r="E7" s="26">
        <f>IFERROR(VLOOKUP($B7,'QB Reserve'!$A:$N,E$2,0),"-")</f>
        <v>356</v>
      </c>
      <c r="F7" s="26">
        <f>IFERROR(VLOOKUP($B7,'QB Reserve'!$A:$N,F$2,0),"-")</f>
        <v>466</v>
      </c>
      <c r="G7" s="26">
        <f>IFERROR(VLOOKUP($B7,'QB Reserve'!$A:$N,G$2,0),"-")</f>
        <v>456</v>
      </c>
      <c r="H7" s="26">
        <f>IFERROR(VLOOKUP($B7,'QB Reserve'!$A:$N,H$2,0),"-")</f>
        <v>0</v>
      </c>
      <c r="I7" s="26">
        <f>IFERROR(VLOOKUP($B7,'QB Reserve'!$A:$N,I$2,0),"-")</f>
        <v>0</v>
      </c>
      <c r="J7" s="26">
        <f>IFERROR(VLOOKUP($B7,'QB Reserve'!$A:$N,J$2,0),"-")</f>
        <v>0</v>
      </c>
      <c r="K7" s="26">
        <f>IFERROR(VLOOKUP($B7,'QB Reserve'!$A:$N,K$2,0),"-")</f>
        <v>0</v>
      </c>
      <c r="L7" s="26">
        <f>IFERROR(VLOOKUP($B7,'QB Reserve'!$A:$N,L$2,0),"-")</f>
        <v>0</v>
      </c>
      <c r="M7" s="26">
        <f>IFERROR(VLOOKUP($B7,'QB Reserve'!$A:$N,M$2,0),"-")</f>
        <v>0</v>
      </c>
      <c r="N7" s="26">
        <f>IFERROR(VLOOKUP($B7,'QB Reserve'!$A:$N,N$2,0),"-")</f>
        <v>0</v>
      </c>
      <c r="O7" s="15"/>
      <c r="P7" s="24">
        <f>IFERROR(VLOOKUP(B7,'QB Reserve'!A:P,16,0),"-")</f>
        <v>0</v>
      </c>
      <c r="Q7" s="15">
        <f>IFERROR(VLOOKUP(B7,'QB Reserve'!A:Q,17,0),"-")</f>
        <v>3</v>
      </c>
      <c r="R7" s="16">
        <f>IFERROR(VLOOKUP(B7,'QB Reserve'!A:T,20,0),"-")</f>
        <v>1</v>
      </c>
      <c r="S7" t="str">
        <f>+VLOOKUP(B7,'QB Reserve'!A:W,23,0)</f>
        <v>User 1</v>
      </c>
    </row>
    <row r="8" spans="1:20" ht="33.75" customHeight="1" x14ac:dyDescent="0.25">
      <c r="A8" s="15">
        <f t="shared" si="1"/>
        <v>4</v>
      </c>
      <c r="B8" s="17">
        <v>6</v>
      </c>
      <c r="C8" s="15" t="str">
        <f>IFERROR(VLOOKUP(B8,'QB Reserve'!A:B,2,0),"-")</f>
        <v>Maths - Addition/ Subtraction</v>
      </c>
      <c r="D8" s="6" t="str">
        <f>IFERROR(VLOOKUP(B8,'QB Reserve'!A:C,3,0),"-")</f>
        <v>Raju has 10 cookies and Aman has 25. They give their cookies to Aryan. How many cookies does Aryan have now?</v>
      </c>
      <c r="E8" s="26">
        <f>IFERROR(VLOOKUP($B8,'QB Reserve'!$A:$N,E$2,0),"-")</f>
        <v>35</v>
      </c>
      <c r="F8" s="26">
        <f>IFERROR(VLOOKUP($B8,'QB Reserve'!$A:$N,F$2,0),"-")</f>
        <v>30</v>
      </c>
      <c r="G8" s="26">
        <f>IFERROR(VLOOKUP($B8,'QB Reserve'!$A:$N,G$2,0),"-")</f>
        <v>0</v>
      </c>
      <c r="H8" s="26">
        <f>IFERROR(VLOOKUP($B8,'QB Reserve'!$A:$N,H$2,0),"-")</f>
        <v>0</v>
      </c>
      <c r="I8" s="26">
        <f>IFERROR(VLOOKUP($B8,'QB Reserve'!$A:$N,I$2,0),"-")</f>
        <v>0</v>
      </c>
      <c r="J8" s="26">
        <f>IFERROR(VLOOKUP($B8,'QB Reserve'!$A:$N,J$2,0),"-")</f>
        <v>0</v>
      </c>
      <c r="K8" s="26">
        <f>IFERROR(VLOOKUP($B8,'QB Reserve'!$A:$N,K$2,0),"-")</f>
        <v>0</v>
      </c>
      <c r="L8" s="26">
        <f>IFERROR(VLOOKUP($B8,'QB Reserve'!$A:$N,L$2,0),"-")</f>
        <v>0</v>
      </c>
      <c r="M8" s="26">
        <f>IFERROR(VLOOKUP($B8,'QB Reserve'!$A:$N,M$2,0),"-")</f>
        <v>0</v>
      </c>
      <c r="N8" s="26">
        <f>IFERROR(VLOOKUP($B8,'QB Reserve'!$A:$N,N$2,0),"-")</f>
        <v>0</v>
      </c>
      <c r="O8" s="15"/>
      <c r="P8" s="24" t="str">
        <f>IFERROR(VLOOKUP(B8,'QB Reserve'!A:P,16,0),"-")</f>
        <v>Assume variables and add</v>
      </c>
      <c r="Q8" s="15">
        <f>IFERROR(VLOOKUP(B8,'QB Reserve'!A:Q,17,0),"-")</f>
        <v>2</v>
      </c>
      <c r="R8" s="16">
        <f>IFERROR(VLOOKUP(B8,'QB Reserve'!A:T,20,0),"-")</f>
        <v>3</v>
      </c>
      <c r="S8" t="str">
        <f>+VLOOKUP(B8,'QB Reserve'!A:W,23,0)</f>
        <v>User 3</v>
      </c>
    </row>
    <row r="9" spans="1:20" ht="33.75" customHeight="1" x14ac:dyDescent="0.25">
      <c r="A9" s="15">
        <f t="shared" si="1"/>
        <v>5</v>
      </c>
      <c r="B9" s="17">
        <v>7</v>
      </c>
      <c r="C9" s="15" t="str">
        <f>IFERROR(VLOOKUP(B9,'QB Reserve'!A:B,2,0),"-")</f>
        <v>Maths - Addition/ Subtraction</v>
      </c>
      <c r="D9" s="6" t="str">
        <f>IFERROR(VLOOKUP(B9,'QB Reserve'!A:C,3,0),"-")</f>
        <v>What will be the result if 35 is Subtract from 63?</v>
      </c>
      <c r="E9" s="26">
        <f>IFERROR(VLOOKUP($B9,'QB Reserve'!$A:$N,E$2,0),"-")</f>
        <v>13</v>
      </c>
      <c r="F9" s="26">
        <f>IFERROR(VLOOKUP($B9,'QB Reserve'!$A:$N,F$2,0),"-")</f>
        <v>25</v>
      </c>
      <c r="G9" s="26">
        <f>IFERROR(VLOOKUP($B9,'QB Reserve'!$A:$N,G$2,0),"-")</f>
        <v>28</v>
      </c>
      <c r="H9" s="26">
        <f>IFERROR(VLOOKUP($B9,'QB Reserve'!$A:$N,H$2,0),"-")</f>
        <v>-28</v>
      </c>
      <c r="I9" s="26">
        <f>IFERROR(VLOOKUP($B9,'QB Reserve'!$A:$N,I$2,0),"-")</f>
        <v>0</v>
      </c>
      <c r="J9" s="26">
        <f>IFERROR(VLOOKUP($B9,'QB Reserve'!$A:$N,J$2,0),"-")</f>
        <v>0</v>
      </c>
      <c r="K9" s="26">
        <f>IFERROR(VLOOKUP($B9,'QB Reserve'!$A:$N,K$2,0),"-")</f>
        <v>0</v>
      </c>
      <c r="L9" s="26">
        <f>IFERROR(VLOOKUP($B9,'QB Reserve'!$A:$N,L$2,0),"-")</f>
        <v>0</v>
      </c>
      <c r="M9" s="26">
        <f>IFERROR(VLOOKUP($B9,'QB Reserve'!$A:$N,M$2,0),"-")</f>
        <v>0</v>
      </c>
      <c r="N9" s="26">
        <f>IFERROR(VLOOKUP($B9,'QB Reserve'!$A:$N,N$2,0),"-")</f>
        <v>0</v>
      </c>
      <c r="O9" s="15"/>
      <c r="P9" s="24">
        <f>IFERROR(VLOOKUP(B9,'QB Reserve'!A:P,16,0),"-")</f>
        <v>0</v>
      </c>
      <c r="Q9" s="15">
        <f>IFERROR(VLOOKUP(B9,'QB Reserve'!A:Q,17,0),"-")</f>
        <v>3</v>
      </c>
      <c r="R9" s="16">
        <f>IFERROR(VLOOKUP(B9,'QB Reserve'!A:T,20,0),"-")</f>
        <v>5</v>
      </c>
      <c r="S9" t="str">
        <f>+VLOOKUP(B9,'QB Reserve'!A:W,23,0)</f>
        <v>User 2</v>
      </c>
    </row>
    <row r="10" spans="1:20" ht="33.75" customHeight="1" x14ac:dyDescent="0.25">
      <c r="A10" s="15">
        <f t="shared" si="1"/>
        <v>6</v>
      </c>
      <c r="B10" s="17">
        <v>13</v>
      </c>
      <c r="C10" s="15" t="str">
        <f>IFERROR(VLOOKUP(B10,'QB Reserve'!A:B,2,0),"-")</f>
        <v>Maths - Numbers</v>
      </c>
      <c r="D10" s="6" t="str">
        <f>IFERROR(VLOOKUP(B10,'QB Reserve'!A:C,3,0),"-")</f>
        <v>What is the exponent of 2 in the prime factorization of 24</v>
      </c>
      <c r="E10" s="26">
        <f>IFERROR(VLOOKUP($B10,'QB Reserve'!$A:$N,E$2,0),"-")</f>
        <v>3</v>
      </c>
      <c r="F10" s="26">
        <f>IFERROR(VLOOKUP($B10,'QB Reserve'!$A:$N,F$2,0),"-")</f>
        <v>2</v>
      </c>
      <c r="G10" s="26">
        <f>IFERROR(VLOOKUP($B10,'QB Reserve'!$A:$N,G$2,0),"-")</f>
        <v>4</v>
      </c>
      <c r="H10" s="26">
        <f>IFERROR(VLOOKUP($B10,'QB Reserve'!$A:$N,H$2,0),"-")</f>
        <v>1</v>
      </c>
      <c r="I10" s="26">
        <f>IFERROR(VLOOKUP($B10,'QB Reserve'!$A:$N,I$2,0),"-")</f>
        <v>2</v>
      </c>
      <c r="J10" s="26">
        <f>IFERROR(VLOOKUP($B10,'QB Reserve'!$A:$N,J$2,0),"-")</f>
        <v>0</v>
      </c>
      <c r="K10" s="26">
        <f>IFERROR(VLOOKUP($B10,'QB Reserve'!$A:$N,K$2,0),"-")</f>
        <v>0</v>
      </c>
      <c r="L10" s="26">
        <f>IFERROR(VLOOKUP($B10,'QB Reserve'!$A:$N,L$2,0),"-")</f>
        <v>0</v>
      </c>
      <c r="M10" s="26">
        <f>IFERROR(VLOOKUP($B10,'QB Reserve'!$A:$N,M$2,0),"-")</f>
        <v>0</v>
      </c>
      <c r="N10" s="26">
        <f>IFERROR(VLOOKUP($B10,'QB Reserve'!$A:$N,N$2,0),"-")</f>
        <v>0</v>
      </c>
      <c r="O10" s="15"/>
      <c r="P10" s="24">
        <f>IFERROR(VLOOKUP(B10,'QB Reserve'!A:P,16,0),"-")</f>
        <v>0</v>
      </c>
      <c r="Q10" s="15">
        <f>IFERROR(VLOOKUP(B10,'QB Reserve'!A:Q,17,0),"-")</f>
        <v>6</v>
      </c>
      <c r="R10" s="16">
        <f>IFERROR(VLOOKUP(B10,'QB Reserve'!A:T,20,0),"-")</f>
        <v>5</v>
      </c>
      <c r="S10" t="str">
        <f>+VLOOKUP(B10,'QB Reserve'!A:W,23,0)</f>
        <v>User 3</v>
      </c>
    </row>
    <row r="11" spans="1:20" ht="33.75" customHeight="1" x14ac:dyDescent="0.25">
      <c r="A11" s="15">
        <f t="shared" si="1"/>
        <v>7</v>
      </c>
      <c r="B11" s="17">
        <v>12</v>
      </c>
      <c r="C11" s="15" t="str">
        <f>IFERROR(VLOOKUP(B11,'QB Reserve'!A:B,2,0),"-")</f>
        <v>Maths - Numbers</v>
      </c>
      <c r="D11" s="6" t="str">
        <f>IFERROR(VLOOKUP(B11,'QB Reserve'!A:C,3,0),"-")</f>
        <v>LCM of 2 numbers is 25. HCF of the two numbers is 3. What is their product?</v>
      </c>
      <c r="E11" s="26">
        <f>IFERROR(VLOOKUP($B11,'QB Reserve'!$A:$N,E$2,0),"-")</f>
        <v>70</v>
      </c>
      <c r="F11" s="26">
        <f>IFERROR(VLOOKUP($B11,'QB Reserve'!$A:$N,F$2,0),"-")</f>
        <v>25</v>
      </c>
      <c r="G11" s="26">
        <f>IFERROR(VLOOKUP($B11,'QB Reserve'!$A:$N,G$2,0),"-")</f>
        <v>50</v>
      </c>
      <c r="H11" s="26">
        <f>IFERROR(VLOOKUP($B11,'QB Reserve'!$A:$N,H$2,0),"-")</f>
        <v>75</v>
      </c>
      <c r="I11" s="26">
        <f>IFERROR(VLOOKUP($B11,'QB Reserve'!$A:$N,I$2,0),"-")</f>
        <v>0</v>
      </c>
      <c r="J11" s="26">
        <f>IFERROR(VLOOKUP($B11,'QB Reserve'!$A:$N,J$2,0),"-")</f>
        <v>0</v>
      </c>
      <c r="K11" s="26">
        <f>IFERROR(VLOOKUP($B11,'QB Reserve'!$A:$N,K$2,0),"-")</f>
        <v>0</v>
      </c>
      <c r="L11" s="26">
        <f>IFERROR(VLOOKUP($B11,'QB Reserve'!$A:$N,L$2,0),"-")</f>
        <v>0</v>
      </c>
      <c r="M11" s="26">
        <f>IFERROR(VLOOKUP($B11,'QB Reserve'!$A:$N,M$2,0),"-")</f>
        <v>0</v>
      </c>
      <c r="N11" s="26">
        <f>IFERROR(VLOOKUP($B11,'QB Reserve'!$A:$N,N$2,0),"-")</f>
        <v>0</v>
      </c>
      <c r="O11" s="15"/>
      <c r="P11" s="24" t="str">
        <f>IFERROR(VLOOKUP(B11,'QB Reserve'!A:P,16,0),"-")</f>
        <v>Product of two numbers is equal to product of their LCM and HCF.</v>
      </c>
      <c r="Q11" s="15">
        <f>IFERROR(VLOOKUP(B11,'QB Reserve'!A:Q,17,0),"-")</f>
        <v>1</v>
      </c>
      <c r="R11" s="16">
        <f>IFERROR(VLOOKUP(B11,'QB Reserve'!A:T,20,0),"-")</f>
        <v>3</v>
      </c>
      <c r="S11" t="str">
        <f>+VLOOKUP(B11,'QB Reserve'!A:W,23,0)</f>
        <v>User 2</v>
      </c>
    </row>
    <row r="12" spans="1:20" ht="33.75" customHeight="1" x14ac:dyDescent="0.25">
      <c r="A12" s="15">
        <f t="shared" ref="A12:A29" si="2">+IF(LEN(D12)&gt;5,A11+1,"-")</f>
        <v>8</v>
      </c>
      <c r="B12" s="17">
        <v>11</v>
      </c>
      <c r="C12" s="15" t="str">
        <f>IFERROR(VLOOKUP(B12,'QB Reserve'!A:B,2,0),"-")</f>
        <v>Maths - Arithmetic</v>
      </c>
      <c r="D12" s="6" t="str">
        <f>IFERROR(VLOOKUP(B12,'QB Reserve'!A:C,3,0),"-")</f>
        <v>Divide 1000 into 8 parts. What is the size of each group now?</v>
      </c>
      <c r="E12" s="26">
        <f>IFERROR(VLOOKUP($B12,'QB Reserve'!$A:$N,E$2,0),"-")</f>
        <v>125</v>
      </c>
      <c r="F12" s="26">
        <f>IFERROR(VLOOKUP($B12,'QB Reserve'!$A:$N,F$2,0),"-")</f>
        <v>225</v>
      </c>
      <c r="G12" s="26">
        <f>IFERROR(VLOOKUP($B12,'QB Reserve'!$A:$N,G$2,0),"-")</f>
        <v>0</v>
      </c>
      <c r="H12" s="26">
        <f>IFERROR(VLOOKUP($B12,'QB Reserve'!$A:$N,H$2,0),"-")</f>
        <v>0</v>
      </c>
      <c r="I12" s="26">
        <f>IFERROR(VLOOKUP($B12,'QB Reserve'!$A:$N,I$2,0),"-")</f>
        <v>0</v>
      </c>
      <c r="J12" s="26">
        <f>IFERROR(VLOOKUP($B12,'QB Reserve'!$A:$N,J$2,0),"-")</f>
        <v>0</v>
      </c>
      <c r="K12" s="26">
        <f>IFERROR(VLOOKUP($B12,'QB Reserve'!$A:$N,K$2,0),"-")</f>
        <v>0</v>
      </c>
      <c r="L12" s="26">
        <f>IFERROR(VLOOKUP($B12,'QB Reserve'!$A:$N,L$2,0),"-")</f>
        <v>0</v>
      </c>
      <c r="M12" s="26">
        <f>IFERROR(VLOOKUP($B12,'QB Reserve'!$A:$N,M$2,0),"-")</f>
        <v>0</v>
      </c>
      <c r="N12" s="26">
        <f>IFERROR(VLOOKUP($B12,'QB Reserve'!$A:$N,N$2,0),"-")</f>
        <v>0</v>
      </c>
      <c r="O12" s="15"/>
      <c r="P12" s="24">
        <f>IFERROR(VLOOKUP(B12,'QB Reserve'!A:P,16,0),"-")</f>
        <v>0</v>
      </c>
      <c r="Q12" s="15">
        <f>IFERROR(VLOOKUP(B12,'QB Reserve'!A:Q,17,0),"-")</f>
        <v>3</v>
      </c>
      <c r="R12" s="16">
        <f>IFERROR(VLOOKUP(B12,'QB Reserve'!A:T,20,0),"-")</f>
        <v>2</v>
      </c>
      <c r="S12" t="str">
        <f>+VLOOKUP(B12,'QB Reserve'!A:W,23,0)</f>
        <v>User 3</v>
      </c>
    </row>
    <row r="13" spans="1:20" ht="33.75" customHeight="1" x14ac:dyDescent="0.25">
      <c r="A13" s="15">
        <f t="shared" si="2"/>
        <v>9</v>
      </c>
      <c r="B13" s="17">
        <v>19</v>
      </c>
      <c r="C13" s="15" t="str">
        <f>IFERROR(VLOOKUP(B13,'QB Reserve'!A:B,2,0),"-")</f>
        <v>Science - Food</v>
      </c>
      <c r="D13" s="6" t="str">
        <f>IFERROR(VLOOKUP(B13,'QB Reserve'!A:C,3,0),"-")</f>
        <v>Potatoes contain a major part of what?</v>
      </c>
      <c r="E13" s="26" t="str">
        <f>IFERROR(VLOOKUP($B13,'QB Reserve'!$A:$N,E$2,0),"-")</f>
        <v>Carbohydrates</v>
      </c>
      <c r="F13" s="26" t="str">
        <f>IFERROR(VLOOKUP($B13,'QB Reserve'!$A:$N,F$2,0),"-")</f>
        <v>Proteins</v>
      </c>
      <c r="G13" s="26">
        <f>IFERROR(VLOOKUP($B13,'QB Reserve'!$A:$N,G$2,0),"-")</f>
        <v>0</v>
      </c>
      <c r="H13" s="26">
        <f>IFERROR(VLOOKUP($B13,'QB Reserve'!$A:$N,H$2,0),"-")</f>
        <v>0</v>
      </c>
      <c r="I13" s="26">
        <f>IFERROR(VLOOKUP($B13,'QB Reserve'!$A:$N,I$2,0),"-")</f>
        <v>0</v>
      </c>
      <c r="J13" s="26">
        <f>IFERROR(VLOOKUP($B13,'QB Reserve'!$A:$N,J$2,0),"-")</f>
        <v>0</v>
      </c>
      <c r="K13" s="26">
        <f>IFERROR(VLOOKUP($B13,'QB Reserve'!$A:$N,K$2,0),"-")</f>
        <v>0</v>
      </c>
      <c r="L13" s="26">
        <f>IFERROR(VLOOKUP($B13,'QB Reserve'!$A:$N,L$2,0),"-")</f>
        <v>0</v>
      </c>
      <c r="M13" s="26">
        <f>IFERROR(VLOOKUP($B13,'QB Reserve'!$A:$N,M$2,0),"-")</f>
        <v>0</v>
      </c>
      <c r="N13" s="26">
        <f>IFERROR(VLOOKUP($B13,'QB Reserve'!$A:$N,N$2,0),"-")</f>
        <v>0</v>
      </c>
      <c r="O13" s="15"/>
      <c r="P13" s="24">
        <f>IFERROR(VLOOKUP(B13,'QB Reserve'!A:P,16,0),"-")</f>
        <v>0</v>
      </c>
      <c r="Q13" s="15">
        <f>IFERROR(VLOOKUP(B13,'QB Reserve'!A:Q,17,0),"-")</f>
        <v>3</v>
      </c>
      <c r="R13" s="16">
        <f>IFERROR(VLOOKUP(B13,'QB Reserve'!A:T,20,0),"-")</f>
        <v>8</v>
      </c>
      <c r="S13" t="str">
        <f>+VLOOKUP(B13,'QB Reserve'!A:W,23,0)</f>
        <v>User 3</v>
      </c>
    </row>
    <row r="14" spans="1:20" ht="33.75" customHeight="1" x14ac:dyDescent="0.25">
      <c r="A14" s="15">
        <f t="shared" si="2"/>
        <v>10</v>
      </c>
      <c r="B14" s="17">
        <v>20</v>
      </c>
      <c r="C14" s="15" t="str">
        <f>IFERROR(VLOOKUP(B14,'QB Reserve'!A:B,2,0),"-")</f>
        <v>Science - Our Universe</v>
      </c>
      <c r="D14" s="6" t="str">
        <f>IFERROR(VLOOKUP(B14,'QB Reserve'!A:C,3,0),"-")</f>
        <v>How many planets are there in the Solar System?</v>
      </c>
      <c r="E14" s="26">
        <f>IFERROR(VLOOKUP($B14,'QB Reserve'!$A:$N,E$2,0),"-")</f>
        <v>8</v>
      </c>
      <c r="F14" s="26">
        <f>IFERROR(VLOOKUP($B14,'QB Reserve'!$A:$N,F$2,0),"-")</f>
        <v>9</v>
      </c>
      <c r="G14" s="26">
        <f>IFERROR(VLOOKUP($B14,'QB Reserve'!$A:$N,G$2,0),"-")</f>
        <v>10</v>
      </c>
      <c r="H14" s="26">
        <f>IFERROR(VLOOKUP($B14,'QB Reserve'!$A:$N,H$2,0),"-")</f>
        <v>7</v>
      </c>
      <c r="I14" s="26">
        <f>IFERROR(VLOOKUP($B14,'QB Reserve'!$A:$N,I$2,0),"-")</f>
        <v>0</v>
      </c>
      <c r="J14" s="26">
        <f>IFERROR(VLOOKUP($B14,'QB Reserve'!$A:$N,J$2,0),"-")</f>
        <v>0</v>
      </c>
      <c r="K14" s="26">
        <f>IFERROR(VLOOKUP($B14,'QB Reserve'!$A:$N,K$2,0),"-")</f>
        <v>0</v>
      </c>
      <c r="L14" s="26">
        <f>IFERROR(VLOOKUP($B14,'QB Reserve'!$A:$N,L$2,0),"-")</f>
        <v>0</v>
      </c>
      <c r="M14" s="26">
        <f>IFERROR(VLOOKUP($B14,'QB Reserve'!$A:$N,M$2,0),"-")</f>
        <v>0</v>
      </c>
      <c r="N14" s="26">
        <f>IFERROR(VLOOKUP($B14,'QB Reserve'!$A:$N,N$2,0),"-")</f>
        <v>0</v>
      </c>
      <c r="O14" s="15"/>
      <c r="P14" s="24">
        <f>IFERROR(VLOOKUP(B14,'QB Reserve'!A:P,16,0),"-")</f>
        <v>0</v>
      </c>
      <c r="Q14" s="15">
        <f>IFERROR(VLOOKUP(B14,'QB Reserve'!A:Q,17,0),"-")</f>
        <v>6</v>
      </c>
      <c r="R14" s="16">
        <f>IFERROR(VLOOKUP(B14,'QB Reserve'!A:T,20,0),"-")</f>
        <v>1</v>
      </c>
      <c r="S14" t="str">
        <f>+VLOOKUP(B14,'QB Reserve'!A:W,23,0)</f>
        <v>User 1</v>
      </c>
    </row>
    <row r="15" spans="1:20" ht="33.75" customHeight="1" x14ac:dyDescent="0.25">
      <c r="A15" s="15">
        <f t="shared" si="2"/>
        <v>11</v>
      </c>
      <c r="B15" s="17">
        <v>21</v>
      </c>
      <c r="C15" s="15" t="str">
        <f>IFERROR(VLOOKUP(B15,'QB Reserve'!A:B,2,0),"-")</f>
        <v>Science - Our Universe</v>
      </c>
      <c r="D15" s="6" t="str">
        <f>IFERROR(VLOOKUP(B15,'QB Reserve'!A:C,3,0),"-")</f>
        <v>Which is the hottest planet?</v>
      </c>
      <c r="E15" s="26" t="str">
        <f>IFERROR(VLOOKUP($B15,'QB Reserve'!$A:$N,E$2,0),"-")</f>
        <v>Venus</v>
      </c>
      <c r="F15" s="26" t="str">
        <f>IFERROR(VLOOKUP($B15,'QB Reserve'!$A:$N,F$2,0),"-")</f>
        <v>Mars</v>
      </c>
      <c r="G15" s="26" t="str">
        <f>IFERROR(VLOOKUP($B15,'QB Reserve'!$A:$N,G$2,0),"-")</f>
        <v>Mercury</v>
      </c>
      <c r="H15" s="26" t="str">
        <f>IFERROR(VLOOKUP($B15,'QB Reserve'!$A:$N,H$2,0),"-")</f>
        <v>Neptune</v>
      </c>
      <c r="I15" s="26" t="str">
        <f>IFERROR(VLOOKUP($B15,'QB Reserve'!$A:$N,I$2,0),"-")</f>
        <v>Uranus</v>
      </c>
      <c r="J15" s="26">
        <f>IFERROR(VLOOKUP($B15,'QB Reserve'!$A:$N,J$2,0),"-")</f>
        <v>0</v>
      </c>
      <c r="K15" s="26">
        <f>IFERROR(VLOOKUP($B15,'QB Reserve'!$A:$N,K$2,0),"-")</f>
        <v>0</v>
      </c>
      <c r="L15" s="26">
        <f>IFERROR(VLOOKUP($B15,'QB Reserve'!$A:$N,L$2,0),"-")</f>
        <v>0</v>
      </c>
      <c r="M15" s="26">
        <f>IFERROR(VLOOKUP($B15,'QB Reserve'!$A:$N,M$2,0),"-")</f>
        <v>0</v>
      </c>
      <c r="N15" s="26">
        <f>IFERROR(VLOOKUP($B15,'QB Reserve'!$A:$N,N$2,0),"-")</f>
        <v>0</v>
      </c>
      <c r="O15" s="15"/>
      <c r="P15" s="24">
        <f>IFERROR(VLOOKUP(B15,'QB Reserve'!A:P,16,0),"-")</f>
        <v>0</v>
      </c>
      <c r="Q15" s="15">
        <f>IFERROR(VLOOKUP(B15,'QB Reserve'!A:Q,17,0),"-")</f>
        <v>5</v>
      </c>
      <c r="R15" s="16">
        <f>IFERROR(VLOOKUP(B15,'QB Reserve'!A:T,20,0),"-")</f>
        <v>2</v>
      </c>
      <c r="S15" t="str">
        <f>+VLOOKUP(B15,'QB Reserve'!A:W,23,0)</f>
        <v>User 1</v>
      </c>
    </row>
    <row r="16" spans="1:20" ht="33.75" customHeight="1" x14ac:dyDescent="0.25">
      <c r="A16" s="15">
        <f t="shared" si="2"/>
        <v>12</v>
      </c>
      <c r="B16" s="17">
        <v>25</v>
      </c>
      <c r="C16" s="15" t="str">
        <f>IFERROR(VLOOKUP(B16,'QB Reserve'!A:B,2,0),"-")</f>
        <v>Science - Our Body</v>
      </c>
      <c r="D16" s="6" t="str">
        <f>IFERROR(VLOOKUP(B16,'QB Reserve'!A:C,3,0),"-")</f>
        <v>How many bones are there approximately in the human body?</v>
      </c>
      <c r="E16" s="26">
        <f>IFERROR(VLOOKUP($B16,'QB Reserve'!$A:$N,E$2,0),"-")</f>
        <v>216</v>
      </c>
      <c r="F16" s="26">
        <f>IFERROR(VLOOKUP($B16,'QB Reserve'!$A:$N,F$2,0),"-")</f>
        <v>50</v>
      </c>
      <c r="G16" s="26">
        <f>IFERROR(VLOOKUP($B16,'QB Reserve'!$A:$N,G$2,0),"-")</f>
        <v>500</v>
      </c>
      <c r="H16" s="26">
        <f>IFERROR(VLOOKUP($B16,'QB Reserve'!$A:$N,H$2,0),"-")</f>
        <v>1000</v>
      </c>
      <c r="I16" s="26">
        <f>IFERROR(VLOOKUP($B16,'QB Reserve'!$A:$N,I$2,0),"-")</f>
        <v>0</v>
      </c>
      <c r="J16" s="26">
        <f>IFERROR(VLOOKUP($B16,'QB Reserve'!$A:$N,J$2,0),"-")</f>
        <v>0</v>
      </c>
      <c r="K16" s="26">
        <f>IFERROR(VLOOKUP($B16,'QB Reserve'!$A:$N,K$2,0),"-")</f>
        <v>0</v>
      </c>
      <c r="L16" s="26">
        <f>IFERROR(VLOOKUP($B16,'QB Reserve'!$A:$N,L$2,0),"-")</f>
        <v>0</v>
      </c>
      <c r="M16" s="26">
        <f>IFERROR(VLOOKUP($B16,'QB Reserve'!$A:$N,M$2,0),"-")</f>
        <v>0</v>
      </c>
      <c r="N16" s="26">
        <f>IFERROR(VLOOKUP($B16,'QB Reserve'!$A:$N,N$2,0),"-")</f>
        <v>0</v>
      </c>
      <c r="O16" s="15"/>
      <c r="P16" s="24">
        <f>IFERROR(VLOOKUP(B16,'QB Reserve'!A:P,16,0),"-")</f>
        <v>0</v>
      </c>
      <c r="Q16" s="15">
        <f>IFERROR(VLOOKUP(B16,'QB Reserve'!A:Q,17,0),"-")</f>
        <v>2</v>
      </c>
      <c r="R16" s="16">
        <f>IFERROR(VLOOKUP(B16,'QB Reserve'!A:T,20,0),"-")</f>
        <v>8</v>
      </c>
      <c r="S16" t="str">
        <f>+VLOOKUP(B16,'QB Reserve'!A:W,23,0)</f>
        <v>User 2</v>
      </c>
    </row>
    <row r="17" spans="1:19" ht="33.75" customHeight="1" x14ac:dyDescent="0.25">
      <c r="A17" s="15">
        <f t="shared" si="2"/>
        <v>13</v>
      </c>
      <c r="B17" s="17">
        <v>24</v>
      </c>
      <c r="C17" s="15" t="str">
        <f>IFERROR(VLOOKUP(B17,'QB Reserve'!A:B,2,0),"-")</f>
        <v>Science - Our Body</v>
      </c>
      <c r="D17" s="6" t="str">
        <f>IFERROR(VLOOKUP(B17,'QB Reserve'!A:C,3,0),"-")</f>
        <v>We inhale air through what part?</v>
      </c>
      <c r="E17" s="26" t="str">
        <f>IFERROR(VLOOKUP($B17,'QB Reserve'!$A:$N,E$2,0),"-")</f>
        <v>Hands</v>
      </c>
      <c r="F17" s="26" t="str">
        <f>IFERROR(VLOOKUP($B17,'QB Reserve'!$A:$N,F$2,0),"-")</f>
        <v>Nose</v>
      </c>
      <c r="G17" s="26" t="str">
        <f>IFERROR(VLOOKUP($B17,'QB Reserve'!$A:$N,G$2,0),"-")</f>
        <v>Ear</v>
      </c>
      <c r="H17" s="26" t="str">
        <f>IFERROR(VLOOKUP($B17,'QB Reserve'!$A:$N,H$2,0),"-")</f>
        <v>Eyes</v>
      </c>
      <c r="I17" s="26">
        <f>IFERROR(VLOOKUP($B17,'QB Reserve'!$A:$N,I$2,0),"-")</f>
        <v>0</v>
      </c>
      <c r="J17" s="26">
        <f>IFERROR(VLOOKUP($B17,'QB Reserve'!$A:$N,J$2,0),"-")</f>
        <v>0</v>
      </c>
      <c r="K17" s="26">
        <f>IFERROR(VLOOKUP($B17,'QB Reserve'!$A:$N,K$2,0),"-")</f>
        <v>0</v>
      </c>
      <c r="L17" s="26">
        <f>IFERROR(VLOOKUP($B17,'QB Reserve'!$A:$N,L$2,0),"-")</f>
        <v>0</v>
      </c>
      <c r="M17" s="26">
        <f>IFERROR(VLOOKUP($B17,'QB Reserve'!$A:$N,M$2,0),"-")</f>
        <v>0</v>
      </c>
      <c r="N17" s="26">
        <f>IFERROR(VLOOKUP($B17,'QB Reserve'!$A:$N,N$2,0),"-")</f>
        <v>0</v>
      </c>
      <c r="O17" s="15"/>
      <c r="P17" s="24">
        <f>IFERROR(VLOOKUP(B17,'QB Reserve'!A:P,16,0),"-")</f>
        <v>0</v>
      </c>
      <c r="Q17" s="15">
        <f>IFERROR(VLOOKUP(B17,'QB Reserve'!A:Q,17,0),"-")</f>
        <v>6</v>
      </c>
      <c r="R17" s="16">
        <f>IFERROR(VLOOKUP(B17,'QB Reserve'!A:T,20,0),"-")</f>
        <v>9</v>
      </c>
      <c r="S17" t="str">
        <f>+VLOOKUP(B17,'QB Reserve'!A:W,23,0)</f>
        <v>User 3</v>
      </c>
    </row>
    <row r="18" spans="1:19" ht="33.75" customHeight="1" x14ac:dyDescent="0.25">
      <c r="A18" s="15">
        <f t="shared" si="2"/>
        <v>14</v>
      </c>
      <c r="B18" s="17">
        <v>23</v>
      </c>
      <c r="C18" s="15" t="str">
        <f>IFERROR(VLOOKUP(B18,'QB Reserve'!A:B,2,0),"-")</f>
        <v>Science - Our Body</v>
      </c>
      <c r="D18" s="6" t="str">
        <f>IFERROR(VLOOKUP(B18,'QB Reserve'!A:C,3,0),"-")</f>
        <v>What part of the body has no blood supply?</v>
      </c>
      <c r="E18" s="26" t="str">
        <f>IFERROR(VLOOKUP($B18,'QB Reserve'!$A:$N,E$2,0),"-")</f>
        <v>Cornea</v>
      </c>
      <c r="F18" s="26" t="str">
        <f>IFERROR(VLOOKUP($B18,'QB Reserve'!$A:$N,F$2,0),"-")</f>
        <v>Hands</v>
      </c>
      <c r="G18" s="26" t="str">
        <f>IFERROR(VLOOKUP($B18,'QB Reserve'!$A:$N,G$2,0),"-")</f>
        <v>Feet</v>
      </c>
      <c r="H18" s="26" t="str">
        <f>IFERROR(VLOOKUP($B18,'QB Reserve'!$A:$N,H$2,0),"-")</f>
        <v>Ear</v>
      </c>
      <c r="I18" s="26">
        <f>IFERROR(VLOOKUP($B18,'QB Reserve'!$A:$N,I$2,0),"-")</f>
        <v>0</v>
      </c>
      <c r="J18" s="26">
        <f>IFERROR(VLOOKUP($B18,'QB Reserve'!$A:$N,J$2,0),"-")</f>
        <v>0</v>
      </c>
      <c r="K18" s="26">
        <f>IFERROR(VLOOKUP($B18,'QB Reserve'!$A:$N,K$2,0),"-")</f>
        <v>0</v>
      </c>
      <c r="L18" s="26">
        <f>IFERROR(VLOOKUP($B18,'QB Reserve'!$A:$N,L$2,0),"-")</f>
        <v>0</v>
      </c>
      <c r="M18" s="26">
        <f>IFERROR(VLOOKUP($B18,'QB Reserve'!$A:$N,M$2,0),"-")</f>
        <v>0</v>
      </c>
      <c r="N18" s="26">
        <f>IFERROR(VLOOKUP($B18,'QB Reserve'!$A:$N,N$2,0),"-")</f>
        <v>0</v>
      </c>
      <c r="O18" s="15"/>
      <c r="P18" s="24">
        <f>IFERROR(VLOOKUP(B18,'QB Reserve'!A:P,16,0),"-")</f>
        <v>0</v>
      </c>
      <c r="Q18" s="15">
        <f>IFERROR(VLOOKUP(B18,'QB Reserve'!A:Q,17,0),"-")</f>
        <v>6</v>
      </c>
      <c r="R18" s="16">
        <f>IFERROR(VLOOKUP(B18,'QB Reserve'!A:T,20,0),"-")</f>
        <v>6</v>
      </c>
      <c r="S18" t="str">
        <f>+VLOOKUP(B18,'QB Reserve'!A:W,23,0)</f>
        <v>User 2</v>
      </c>
    </row>
    <row r="19" spans="1:19" ht="33.75" customHeight="1" x14ac:dyDescent="0.25">
      <c r="A19" s="15">
        <f t="shared" si="2"/>
        <v>15</v>
      </c>
      <c r="B19" s="17">
        <v>17</v>
      </c>
      <c r="C19" s="15" t="str">
        <f>IFERROR(VLOOKUP(B19,'QB Reserve'!A:B,2,0),"-")</f>
        <v>Science - Animals</v>
      </c>
      <c r="D19" s="6" t="str">
        <f>IFERROR(VLOOKUP(B19,'QB Reserve'!A:C,3,0),"-")</f>
        <v>Which of the following is a domestic animal?</v>
      </c>
      <c r="E19" s="26" t="str">
        <f>IFERROR(VLOOKUP($B19,'QB Reserve'!$A:$N,E$2,0),"-")</f>
        <v>Lion</v>
      </c>
      <c r="F19" s="26" t="str">
        <f>IFERROR(VLOOKUP($B19,'QB Reserve'!$A:$N,F$2,0),"-")</f>
        <v>Wolf</v>
      </c>
      <c r="G19" s="26" t="str">
        <f>IFERROR(VLOOKUP($B19,'QB Reserve'!$A:$N,G$2,0),"-")</f>
        <v>Tiger</v>
      </c>
      <c r="H19" s="26" t="str">
        <f>IFERROR(VLOOKUP($B19,'QB Reserve'!$A:$N,H$2,0),"-")</f>
        <v>Cow</v>
      </c>
      <c r="I19" s="26">
        <f>IFERROR(VLOOKUP($B19,'QB Reserve'!$A:$N,I$2,0),"-")</f>
        <v>0</v>
      </c>
      <c r="J19" s="26">
        <f>IFERROR(VLOOKUP($B19,'QB Reserve'!$A:$N,J$2,0),"-")</f>
        <v>0</v>
      </c>
      <c r="K19" s="26">
        <f>IFERROR(VLOOKUP($B19,'QB Reserve'!$A:$N,K$2,0),"-")</f>
        <v>0</v>
      </c>
      <c r="L19" s="26">
        <f>IFERROR(VLOOKUP($B19,'QB Reserve'!$A:$N,L$2,0),"-")</f>
        <v>0</v>
      </c>
      <c r="M19" s="26">
        <f>IFERROR(VLOOKUP($B19,'QB Reserve'!$A:$N,M$2,0),"-")</f>
        <v>0</v>
      </c>
      <c r="N19" s="26">
        <f>IFERROR(VLOOKUP($B19,'QB Reserve'!$A:$N,N$2,0),"-")</f>
        <v>0</v>
      </c>
      <c r="O19" s="15"/>
      <c r="P19" s="24">
        <f>IFERROR(VLOOKUP(B19,'QB Reserve'!A:P,16,0),"-")</f>
        <v>0</v>
      </c>
      <c r="Q19" s="15">
        <f>IFERROR(VLOOKUP(B19,'QB Reserve'!A:Q,17,0),"-")</f>
        <v>1</v>
      </c>
      <c r="R19" s="16">
        <f>IFERROR(VLOOKUP(B19,'QB Reserve'!A:T,20,0),"-")</f>
        <v>5</v>
      </c>
      <c r="S19" t="str">
        <f>+VLOOKUP(B19,'QB Reserve'!A:W,23,0)</f>
        <v>User 2</v>
      </c>
    </row>
    <row r="20" spans="1:19" ht="33.75" customHeight="1" x14ac:dyDescent="0.25">
      <c r="A20" s="15">
        <f t="shared" si="2"/>
        <v>16</v>
      </c>
      <c r="B20" s="17">
        <v>14</v>
      </c>
      <c r="C20" s="15" t="str">
        <f>IFERROR(VLOOKUP(B20,'QB Reserve'!A:B,2,0),"-")</f>
        <v>Science - Plants</v>
      </c>
      <c r="D20" s="6" t="str">
        <f>IFERROR(VLOOKUP(B20,'QB Reserve'!A:C,3,0),"-")</f>
        <v>Which of the following is a carnivorous plant?</v>
      </c>
      <c r="E20" s="26" t="str">
        <f>IFERROR(VLOOKUP($B20,'QB Reserve'!$A:$N,E$2,0),"-")</f>
        <v>Venus Flytrap</v>
      </c>
      <c r="F20" s="26" t="str">
        <f>IFERROR(VLOOKUP($B20,'QB Reserve'!$A:$N,F$2,0),"-")</f>
        <v>Aloe Vera</v>
      </c>
      <c r="G20" s="26" t="str">
        <f>IFERROR(VLOOKUP($B20,'QB Reserve'!$A:$N,G$2,0),"-")</f>
        <v>Golden Palm</v>
      </c>
      <c r="H20" s="26">
        <f>IFERROR(VLOOKUP($B20,'QB Reserve'!$A:$N,H$2,0),"-")</f>
        <v>0</v>
      </c>
      <c r="I20" s="26">
        <f>IFERROR(VLOOKUP($B20,'QB Reserve'!$A:$N,I$2,0),"-")</f>
        <v>0</v>
      </c>
      <c r="J20" s="26">
        <f>IFERROR(VLOOKUP($B20,'QB Reserve'!$A:$N,J$2,0),"-")</f>
        <v>0</v>
      </c>
      <c r="K20" s="26">
        <f>IFERROR(VLOOKUP($B20,'QB Reserve'!$A:$N,K$2,0),"-")</f>
        <v>0</v>
      </c>
      <c r="L20" s="26">
        <f>IFERROR(VLOOKUP($B20,'QB Reserve'!$A:$N,L$2,0),"-")</f>
        <v>0</v>
      </c>
      <c r="M20" s="26">
        <f>IFERROR(VLOOKUP($B20,'QB Reserve'!$A:$N,M$2,0),"-")</f>
        <v>0</v>
      </c>
      <c r="N20" s="26">
        <f>IFERROR(VLOOKUP($B20,'QB Reserve'!$A:$N,N$2,0),"-")</f>
        <v>0</v>
      </c>
      <c r="O20" s="15"/>
      <c r="P20" s="24">
        <f>IFERROR(VLOOKUP(B20,'QB Reserve'!A:P,16,0),"-")</f>
        <v>0</v>
      </c>
      <c r="Q20" s="15">
        <f>IFERROR(VLOOKUP(B20,'QB Reserve'!A:Q,17,0),"-")</f>
        <v>2</v>
      </c>
      <c r="R20" s="16">
        <f>IFERROR(VLOOKUP(B20,'QB Reserve'!A:T,20,0),"-")</f>
        <v>2</v>
      </c>
      <c r="S20" t="str">
        <f>+VLOOKUP(B20,'QB Reserve'!A:W,23,0)</f>
        <v>User 1</v>
      </c>
    </row>
    <row r="21" spans="1:19" ht="33.75" customHeight="1" x14ac:dyDescent="0.25">
      <c r="A21" s="15">
        <f t="shared" si="2"/>
        <v>17</v>
      </c>
      <c r="B21" s="17">
        <v>10</v>
      </c>
      <c r="C21" s="15" t="str">
        <f>IFERROR(VLOOKUP(B21,'QB Reserve'!A:B,2,0),"-")</f>
        <v>Maths - Arithmetic</v>
      </c>
      <c r="D21" s="6" t="str">
        <f>IFERROR(VLOOKUP(B21,'QB Reserve'!A:C,3,0),"-")</f>
        <v>What will be the result if 125 is Divided by 5?</v>
      </c>
      <c r="E21" s="26">
        <f>IFERROR(VLOOKUP($B21,'QB Reserve'!$A:$N,E$2,0),"-")</f>
        <v>20</v>
      </c>
      <c r="F21" s="26">
        <f>IFERROR(VLOOKUP($B21,'QB Reserve'!$A:$N,F$2,0),"-")</f>
        <v>10</v>
      </c>
      <c r="G21" s="26">
        <f>IFERROR(VLOOKUP($B21,'QB Reserve'!$A:$N,G$2,0),"-")</f>
        <v>25</v>
      </c>
      <c r="H21" s="26">
        <f>IFERROR(VLOOKUP($B21,'QB Reserve'!$A:$N,H$2,0),"-")</f>
        <v>30</v>
      </c>
      <c r="I21" s="26">
        <f>IFERROR(VLOOKUP($B21,'QB Reserve'!$A:$N,I$2,0),"-")</f>
        <v>0</v>
      </c>
      <c r="J21" s="26">
        <f>IFERROR(VLOOKUP($B21,'QB Reserve'!$A:$N,J$2,0),"-")</f>
        <v>0</v>
      </c>
      <c r="K21" s="26">
        <f>IFERROR(VLOOKUP($B21,'QB Reserve'!$A:$N,K$2,0),"-")</f>
        <v>0</v>
      </c>
      <c r="L21" s="26">
        <f>IFERROR(VLOOKUP($B21,'QB Reserve'!$A:$N,L$2,0),"-")</f>
        <v>0</v>
      </c>
      <c r="M21" s="26">
        <f>IFERROR(VLOOKUP($B21,'QB Reserve'!$A:$N,M$2,0),"-")</f>
        <v>0</v>
      </c>
      <c r="N21" s="26">
        <f>IFERROR(VLOOKUP($B21,'QB Reserve'!$A:$N,N$2,0),"-")</f>
        <v>0</v>
      </c>
      <c r="O21" s="15"/>
      <c r="P21" s="24">
        <f>IFERROR(VLOOKUP(B21,'QB Reserve'!A:P,16,0),"-")</f>
        <v>0</v>
      </c>
      <c r="Q21" s="15">
        <f>IFERROR(VLOOKUP(B21,'QB Reserve'!A:Q,17,0),"-")</f>
        <v>2</v>
      </c>
      <c r="R21" s="16">
        <f>IFERROR(VLOOKUP(B21,'QB Reserve'!A:T,20,0),"-")</f>
        <v>7</v>
      </c>
      <c r="S21" t="str">
        <f>+VLOOKUP(B21,'QB Reserve'!A:W,23,0)</f>
        <v>User 1</v>
      </c>
    </row>
    <row r="22" spans="1:19" ht="33.75" hidden="1" customHeight="1" x14ac:dyDescent="0.25">
      <c r="A22" s="15" t="str">
        <f t="shared" si="2"/>
        <v>-</v>
      </c>
      <c r="B22" s="17"/>
      <c r="C22" s="15" t="str">
        <f>IFERROR(VLOOKUP(B22,'QB Reserve'!A:B,2,0),"-")</f>
        <v>-</v>
      </c>
      <c r="D22" s="6" t="str">
        <f>IFERROR(VLOOKUP(B22,'QB Reserve'!A:C,3,0),"-")</f>
        <v>-</v>
      </c>
      <c r="E22" s="26" t="str">
        <f>IFERROR(VLOOKUP($B22,'QB Reserve'!$A:$N,E$2,0),"-")</f>
        <v>-</v>
      </c>
      <c r="F22" s="26" t="str">
        <f>IFERROR(VLOOKUP($B22,'QB Reserve'!$A:$N,F$2,0),"-")</f>
        <v>-</v>
      </c>
      <c r="G22" s="26" t="str">
        <f>IFERROR(VLOOKUP($B22,'QB Reserve'!$A:$N,G$2,0),"-")</f>
        <v>-</v>
      </c>
      <c r="H22" s="26" t="str">
        <f>IFERROR(VLOOKUP($B22,'QB Reserve'!$A:$N,H$2,0),"-")</f>
        <v>-</v>
      </c>
      <c r="I22" s="26" t="str">
        <f>IFERROR(VLOOKUP($B22,'QB Reserve'!$A:$N,I$2,0),"-")</f>
        <v>-</v>
      </c>
      <c r="J22" s="26" t="str">
        <f>IFERROR(VLOOKUP($B22,'QB Reserve'!$A:$N,J$2,0),"-")</f>
        <v>-</v>
      </c>
      <c r="K22" s="26" t="str">
        <f>IFERROR(VLOOKUP($B22,'QB Reserve'!$A:$N,K$2,0),"-")</f>
        <v>-</v>
      </c>
      <c r="L22" s="26" t="str">
        <f>IFERROR(VLOOKUP($B22,'QB Reserve'!$A:$N,L$2,0),"-")</f>
        <v>-</v>
      </c>
      <c r="M22" s="26" t="str">
        <f>IFERROR(VLOOKUP($B22,'QB Reserve'!$A:$N,M$2,0),"-")</f>
        <v>-</v>
      </c>
      <c r="N22" s="26" t="str">
        <f>IFERROR(VLOOKUP($B22,'QB Reserve'!$A:$N,N$2,0),"-")</f>
        <v>-</v>
      </c>
      <c r="O22" s="15"/>
      <c r="P22" s="24" t="str">
        <f>IFERROR(VLOOKUP(B22,'QB Reserve'!A:P,16,0),"-")</f>
        <v>-</v>
      </c>
      <c r="Q22" s="15" t="str">
        <f>IFERROR(VLOOKUP(B22,'QB Reserve'!A:Q,17,0),"-")</f>
        <v>-</v>
      </c>
      <c r="R22" s="16" t="str">
        <f>IFERROR(VLOOKUP(B22,'QB Reserve'!A:T,20,0),"-")</f>
        <v>-</v>
      </c>
    </row>
    <row r="23" spans="1:19" ht="33.75" hidden="1" customHeight="1" x14ac:dyDescent="0.25">
      <c r="A23" s="15" t="str">
        <f t="shared" si="2"/>
        <v>-</v>
      </c>
      <c r="B23" s="17"/>
      <c r="C23" s="15" t="str">
        <f>IFERROR(VLOOKUP(B23,'QB Reserve'!A:B,2,0),"-")</f>
        <v>-</v>
      </c>
      <c r="D23" s="6" t="str">
        <f>IFERROR(VLOOKUP(B23,'QB Reserve'!A:C,3,0),"-")</f>
        <v>-</v>
      </c>
      <c r="E23" s="26" t="str">
        <f>IFERROR(VLOOKUP($B23,'QB Reserve'!$A:$N,E$2,0),"-")</f>
        <v>-</v>
      </c>
      <c r="F23" s="26" t="str">
        <f>IFERROR(VLOOKUP($B23,'QB Reserve'!$A:$N,F$2,0),"-")</f>
        <v>-</v>
      </c>
      <c r="G23" s="26" t="str">
        <f>IFERROR(VLOOKUP($B23,'QB Reserve'!$A:$N,G$2,0),"-")</f>
        <v>-</v>
      </c>
      <c r="H23" s="26" t="str">
        <f>IFERROR(VLOOKUP($B23,'QB Reserve'!$A:$N,H$2,0),"-")</f>
        <v>-</v>
      </c>
      <c r="I23" s="26" t="str">
        <f>IFERROR(VLOOKUP($B23,'QB Reserve'!$A:$N,I$2,0),"-")</f>
        <v>-</v>
      </c>
      <c r="J23" s="26" t="str">
        <f>IFERROR(VLOOKUP($B23,'QB Reserve'!$A:$N,J$2,0),"-")</f>
        <v>-</v>
      </c>
      <c r="K23" s="26" t="str">
        <f>IFERROR(VLOOKUP($B23,'QB Reserve'!$A:$N,K$2,0),"-")</f>
        <v>-</v>
      </c>
      <c r="L23" s="26" t="str">
        <f>IFERROR(VLOOKUP($B23,'QB Reserve'!$A:$N,L$2,0),"-")</f>
        <v>-</v>
      </c>
      <c r="M23" s="26" t="str">
        <f>IFERROR(VLOOKUP($B23,'QB Reserve'!$A:$N,M$2,0),"-")</f>
        <v>-</v>
      </c>
      <c r="N23" s="26" t="str">
        <f>IFERROR(VLOOKUP($B23,'QB Reserve'!$A:$N,N$2,0),"-")</f>
        <v>-</v>
      </c>
      <c r="O23" s="15"/>
      <c r="P23" s="24" t="str">
        <f>IFERROR(VLOOKUP(B23,'QB Reserve'!A:P,16,0),"-")</f>
        <v>-</v>
      </c>
      <c r="Q23" s="15" t="str">
        <f>IFERROR(VLOOKUP(B23,'QB Reserve'!A:Q,17,0),"-")</f>
        <v>-</v>
      </c>
      <c r="R23" s="16" t="str">
        <f>IFERROR(VLOOKUP(B23,'QB Reserve'!A:T,20,0),"-")</f>
        <v>-</v>
      </c>
    </row>
    <row r="24" spans="1:19" ht="33.75" hidden="1" customHeight="1" x14ac:dyDescent="0.25">
      <c r="A24" s="15" t="str">
        <f t="shared" si="2"/>
        <v>-</v>
      </c>
      <c r="B24" s="17"/>
      <c r="C24" s="15" t="str">
        <f>IFERROR(VLOOKUP(B24,'QB Reserve'!A:B,2,0),"-")</f>
        <v>-</v>
      </c>
      <c r="D24" s="6" t="str">
        <f>IFERROR(VLOOKUP(B24,'QB Reserve'!A:C,3,0),"-")</f>
        <v>-</v>
      </c>
      <c r="E24" s="26" t="str">
        <f>IFERROR(VLOOKUP($B24,'QB Reserve'!$A:$N,E$2,0),"-")</f>
        <v>-</v>
      </c>
      <c r="F24" s="26" t="str">
        <f>IFERROR(VLOOKUP($B24,'QB Reserve'!$A:$N,F$2,0),"-")</f>
        <v>-</v>
      </c>
      <c r="G24" s="26" t="str">
        <f>IFERROR(VLOOKUP($B24,'QB Reserve'!$A:$N,G$2,0),"-")</f>
        <v>-</v>
      </c>
      <c r="H24" s="26" t="str">
        <f>IFERROR(VLOOKUP($B24,'QB Reserve'!$A:$N,H$2,0),"-")</f>
        <v>-</v>
      </c>
      <c r="I24" s="26" t="str">
        <f>IFERROR(VLOOKUP($B24,'QB Reserve'!$A:$N,I$2,0),"-")</f>
        <v>-</v>
      </c>
      <c r="J24" s="26" t="str">
        <f>IFERROR(VLOOKUP($B24,'QB Reserve'!$A:$N,J$2,0),"-")</f>
        <v>-</v>
      </c>
      <c r="K24" s="26" t="str">
        <f>IFERROR(VLOOKUP($B24,'QB Reserve'!$A:$N,K$2,0),"-")</f>
        <v>-</v>
      </c>
      <c r="L24" s="26" t="str">
        <f>IFERROR(VLOOKUP($B24,'QB Reserve'!$A:$N,L$2,0),"-")</f>
        <v>-</v>
      </c>
      <c r="M24" s="26" t="str">
        <f>IFERROR(VLOOKUP($B24,'QB Reserve'!$A:$N,M$2,0),"-")</f>
        <v>-</v>
      </c>
      <c r="N24" s="26" t="str">
        <f>IFERROR(VLOOKUP($B24,'QB Reserve'!$A:$N,N$2,0),"-")</f>
        <v>-</v>
      </c>
      <c r="O24" s="15"/>
      <c r="P24" s="24" t="str">
        <f>IFERROR(VLOOKUP(B24,'QB Reserve'!A:P,16,0),"-")</f>
        <v>-</v>
      </c>
      <c r="Q24" s="15" t="str">
        <f>IFERROR(VLOOKUP(B24,'QB Reserve'!A:Q,17,0),"-")</f>
        <v>-</v>
      </c>
      <c r="R24" s="16" t="str">
        <f>IFERROR(VLOOKUP(B24,'QB Reserve'!A:T,20,0),"-")</f>
        <v>-</v>
      </c>
    </row>
    <row r="25" spans="1:19" ht="33.75" hidden="1" customHeight="1" x14ac:dyDescent="0.25">
      <c r="A25" s="15" t="str">
        <f t="shared" si="2"/>
        <v>-</v>
      </c>
      <c r="B25" s="17"/>
      <c r="C25" s="15" t="str">
        <f>IFERROR(VLOOKUP(B25,'QB Reserve'!A:B,2,0),"-")</f>
        <v>-</v>
      </c>
      <c r="D25" s="6" t="str">
        <f>IFERROR(VLOOKUP(B25,'QB Reserve'!A:C,3,0),"-")</f>
        <v>-</v>
      </c>
      <c r="E25" s="26" t="str">
        <f>IFERROR(VLOOKUP($B25,'QB Reserve'!$A:$N,E$2,0),"-")</f>
        <v>-</v>
      </c>
      <c r="F25" s="26" t="str">
        <f>IFERROR(VLOOKUP($B25,'QB Reserve'!$A:$N,F$2,0),"-")</f>
        <v>-</v>
      </c>
      <c r="G25" s="26" t="str">
        <f>IFERROR(VLOOKUP($B25,'QB Reserve'!$A:$N,G$2,0),"-")</f>
        <v>-</v>
      </c>
      <c r="H25" s="26" t="str">
        <f>IFERROR(VLOOKUP($B25,'QB Reserve'!$A:$N,H$2,0),"-")</f>
        <v>-</v>
      </c>
      <c r="I25" s="26" t="str">
        <f>IFERROR(VLOOKUP($B25,'QB Reserve'!$A:$N,I$2,0),"-")</f>
        <v>-</v>
      </c>
      <c r="J25" s="26" t="str">
        <f>IFERROR(VLOOKUP($B25,'QB Reserve'!$A:$N,J$2,0),"-")</f>
        <v>-</v>
      </c>
      <c r="K25" s="26" t="str">
        <f>IFERROR(VLOOKUP($B25,'QB Reserve'!$A:$N,K$2,0),"-")</f>
        <v>-</v>
      </c>
      <c r="L25" s="26" t="str">
        <f>IFERROR(VLOOKUP($B25,'QB Reserve'!$A:$N,L$2,0),"-")</f>
        <v>-</v>
      </c>
      <c r="M25" s="26" t="str">
        <f>IFERROR(VLOOKUP($B25,'QB Reserve'!$A:$N,M$2,0),"-")</f>
        <v>-</v>
      </c>
      <c r="N25" s="26" t="str">
        <f>IFERROR(VLOOKUP($B25,'QB Reserve'!$A:$N,N$2,0),"-")</f>
        <v>-</v>
      </c>
      <c r="O25" s="15"/>
      <c r="P25" s="24" t="str">
        <f>IFERROR(VLOOKUP(B25,'QB Reserve'!A:P,16,0),"-")</f>
        <v>-</v>
      </c>
      <c r="Q25" s="15" t="str">
        <f>IFERROR(VLOOKUP(B25,'QB Reserve'!A:Q,17,0),"-")</f>
        <v>-</v>
      </c>
      <c r="R25" s="16" t="str">
        <f>IFERROR(VLOOKUP(B25,'QB Reserve'!A:T,20,0),"-")</f>
        <v>-</v>
      </c>
    </row>
    <row r="26" spans="1:19" ht="33.75" hidden="1" customHeight="1" x14ac:dyDescent="0.25">
      <c r="A26" s="15" t="str">
        <f t="shared" si="2"/>
        <v>-</v>
      </c>
      <c r="B26" s="17"/>
      <c r="C26" s="15" t="str">
        <f>IFERROR(VLOOKUP(B26,'QB Reserve'!A:B,2,0),"-")</f>
        <v>-</v>
      </c>
      <c r="D26" s="6" t="str">
        <f>IFERROR(VLOOKUP(B26,'QB Reserve'!A:C,3,0),"-")</f>
        <v>-</v>
      </c>
      <c r="E26" s="26" t="str">
        <f>IFERROR(VLOOKUP($B26,'QB Reserve'!$A:$N,E$2,0),"-")</f>
        <v>-</v>
      </c>
      <c r="F26" s="26" t="str">
        <f>IFERROR(VLOOKUP($B26,'QB Reserve'!$A:$N,F$2,0),"-")</f>
        <v>-</v>
      </c>
      <c r="G26" s="26" t="str">
        <f>IFERROR(VLOOKUP($B26,'QB Reserve'!$A:$N,G$2,0),"-")</f>
        <v>-</v>
      </c>
      <c r="H26" s="26" t="str">
        <f>IFERROR(VLOOKUP($B26,'QB Reserve'!$A:$N,H$2,0),"-")</f>
        <v>-</v>
      </c>
      <c r="I26" s="26" t="str">
        <f>IFERROR(VLOOKUP($B26,'QB Reserve'!$A:$N,I$2,0),"-")</f>
        <v>-</v>
      </c>
      <c r="J26" s="26" t="str">
        <f>IFERROR(VLOOKUP($B26,'QB Reserve'!$A:$N,J$2,0),"-")</f>
        <v>-</v>
      </c>
      <c r="K26" s="26" t="str">
        <f>IFERROR(VLOOKUP($B26,'QB Reserve'!$A:$N,K$2,0),"-")</f>
        <v>-</v>
      </c>
      <c r="L26" s="26" t="str">
        <f>IFERROR(VLOOKUP($B26,'QB Reserve'!$A:$N,L$2,0),"-")</f>
        <v>-</v>
      </c>
      <c r="M26" s="26" t="str">
        <f>IFERROR(VLOOKUP($B26,'QB Reserve'!$A:$N,M$2,0),"-")</f>
        <v>-</v>
      </c>
      <c r="N26" s="26" t="str">
        <f>IFERROR(VLOOKUP($B26,'QB Reserve'!$A:$N,N$2,0),"-")</f>
        <v>-</v>
      </c>
      <c r="O26" s="15"/>
      <c r="P26" s="24" t="str">
        <f>IFERROR(VLOOKUP(B26,'QB Reserve'!A:P,16,0),"-")</f>
        <v>-</v>
      </c>
      <c r="Q26" s="15" t="str">
        <f>IFERROR(VLOOKUP(B26,'QB Reserve'!A:Q,17,0),"-")</f>
        <v>-</v>
      </c>
      <c r="R26" s="16" t="str">
        <f>IFERROR(VLOOKUP(B26,'QB Reserve'!A:T,20,0),"-")</f>
        <v>-</v>
      </c>
    </row>
    <row r="27" spans="1:19" ht="33.75" hidden="1" customHeight="1" x14ac:dyDescent="0.25">
      <c r="A27" s="15" t="str">
        <f t="shared" si="2"/>
        <v>-</v>
      </c>
      <c r="B27" s="17"/>
      <c r="C27" s="15" t="str">
        <f>IFERROR(VLOOKUP(B27,'QB Reserve'!A:B,2,0),"-")</f>
        <v>-</v>
      </c>
      <c r="D27" s="6" t="str">
        <f>IFERROR(VLOOKUP(B27,'QB Reserve'!A:C,3,0),"-")</f>
        <v>-</v>
      </c>
      <c r="E27" s="26" t="str">
        <f>IFERROR(VLOOKUP($B27,'QB Reserve'!$A:$N,E$2,0),"-")</f>
        <v>-</v>
      </c>
      <c r="F27" s="26" t="str">
        <f>IFERROR(VLOOKUP($B27,'QB Reserve'!$A:$N,F$2,0),"-")</f>
        <v>-</v>
      </c>
      <c r="G27" s="26" t="str">
        <f>IFERROR(VLOOKUP($B27,'QB Reserve'!$A:$N,G$2,0),"-")</f>
        <v>-</v>
      </c>
      <c r="H27" s="26" t="str">
        <f>IFERROR(VLOOKUP($B27,'QB Reserve'!$A:$N,H$2,0),"-")</f>
        <v>-</v>
      </c>
      <c r="I27" s="26" t="str">
        <f>IFERROR(VLOOKUP($B27,'QB Reserve'!$A:$N,I$2,0),"-")</f>
        <v>-</v>
      </c>
      <c r="J27" s="26" t="str">
        <f>IFERROR(VLOOKUP($B27,'QB Reserve'!$A:$N,J$2,0),"-")</f>
        <v>-</v>
      </c>
      <c r="K27" s="26" t="str">
        <f>IFERROR(VLOOKUP($B27,'QB Reserve'!$A:$N,K$2,0),"-")</f>
        <v>-</v>
      </c>
      <c r="L27" s="26" t="str">
        <f>IFERROR(VLOOKUP($B27,'QB Reserve'!$A:$N,L$2,0),"-")</f>
        <v>-</v>
      </c>
      <c r="M27" s="26" t="str">
        <f>IFERROR(VLOOKUP($B27,'QB Reserve'!$A:$N,M$2,0),"-")</f>
        <v>-</v>
      </c>
      <c r="N27" s="26" t="str">
        <f>IFERROR(VLOOKUP($B27,'QB Reserve'!$A:$N,N$2,0),"-")</f>
        <v>-</v>
      </c>
      <c r="O27" s="15"/>
      <c r="P27" s="24" t="str">
        <f>IFERROR(VLOOKUP(B27,'QB Reserve'!A:P,16,0),"-")</f>
        <v>-</v>
      </c>
      <c r="Q27" s="15" t="str">
        <f>IFERROR(VLOOKUP(B27,'QB Reserve'!A:Q,17,0),"-")</f>
        <v>-</v>
      </c>
      <c r="R27" s="16" t="str">
        <f>IFERROR(VLOOKUP(B27,'QB Reserve'!A:T,20,0),"-")</f>
        <v>-</v>
      </c>
    </row>
    <row r="28" spans="1:19" ht="33.75" hidden="1" customHeight="1" x14ac:dyDescent="0.25">
      <c r="A28" s="15" t="str">
        <f t="shared" si="2"/>
        <v>-</v>
      </c>
      <c r="B28" s="17"/>
      <c r="C28" s="15" t="str">
        <f>IFERROR(VLOOKUP(B28,'QB Reserve'!A:B,2,0),"-")</f>
        <v>-</v>
      </c>
      <c r="D28" s="6" t="str">
        <f>IFERROR(VLOOKUP(B28,'QB Reserve'!A:C,3,0),"-")</f>
        <v>-</v>
      </c>
      <c r="E28" s="26" t="str">
        <f>IFERROR(VLOOKUP($B28,'QB Reserve'!$A:$N,E$2,0),"-")</f>
        <v>-</v>
      </c>
      <c r="F28" s="26" t="str">
        <f>IFERROR(VLOOKUP($B28,'QB Reserve'!$A:$N,F$2,0),"-")</f>
        <v>-</v>
      </c>
      <c r="G28" s="26" t="str">
        <f>IFERROR(VLOOKUP($B28,'QB Reserve'!$A:$N,G$2,0),"-")</f>
        <v>-</v>
      </c>
      <c r="H28" s="26" t="str">
        <f>IFERROR(VLOOKUP($B28,'QB Reserve'!$A:$N,H$2,0),"-")</f>
        <v>-</v>
      </c>
      <c r="I28" s="26" t="str">
        <f>IFERROR(VLOOKUP($B28,'QB Reserve'!$A:$N,I$2,0),"-")</f>
        <v>-</v>
      </c>
      <c r="J28" s="26" t="str">
        <f>IFERROR(VLOOKUP($B28,'QB Reserve'!$A:$N,J$2,0),"-")</f>
        <v>-</v>
      </c>
      <c r="K28" s="26" t="str">
        <f>IFERROR(VLOOKUP($B28,'QB Reserve'!$A:$N,K$2,0),"-")</f>
        <v>-</v>
      </c>
      <c r="L28" s="26" t="str">
        <f>IFERROR(VLOOKUP($B28,'QB Reserve'!$A:$N,L$2,0),"-")</f>
        <v>-</v>
      </c>
      <c r="M28" s="26" t="str">
        <f>IFERROR(VLOOKUP($B28,'QB Reserve'!$A:$N,M$2,0),"-")</f>
        <v>-</v>
      </c>
      <c r="N28" s="26" t="str">
        <f>IFERROR(VLOOKUP($B28,'QB Reserve'!$A:$N,N$2,0),"-")</f>
        <v>-</v>
      </c>
      <c r="O28" s="15"/>
      <c r="P28" s="24" t="str">
        <f>IFERROR(VLOOKUP(B28,'QB Reserve'!A:P,16,0),"-")</f>
        <v>-</v>
      </c>
      <c r="Q28" s="15" t="str">
        <f>IFERROR(VLOOKUP(B28,'QB Reserve'!A:Q,17,0),"-")</f>
        <v>-</v>
      </c>
      <c r="R28" s="16" t="str">
        <f>IFERROR(VLOOKUP(B28,'QB Reserve'!A:T,20,0),"-")</f>
        <v>-</v>
      </c>
    </row>
    <row r="29" spans="1:19" ht="33.75" hidden="1" customHeight="1" x14ac:dyDescent="0.25">
      <c r="A29" s="15" t="str">
        <f t="shared" si="2"/>
        <v>-</v>
      </c>
      <c r="B29" s="17"/>
      <c r="C29" s="15" t="str">
        <f>IFERROR(VLOOKUP(B29,'QB Reserve'!A:B,2,0),"-")</f>
        <v>-</v>
      </c>
      <c r="D29" s="6" t="str">
        <f>IFERROR(VLOOKUP(B29,'QB Reserve'!A:C,3,0),"-")</f>
        <v>-</v>
      </c>
      <c r="E29" s="26" t="str">
        <f>IFERROR(VLOOKUP($B29,'QB Reserve'!$A:$N,E$2,0),"-")</f>
        <v>-</v>
      </c>
      <c r="F29" s="26" t="str">
        <f>IFERROR(VLOOKUP($B29,'QB Reserve'!$A:$N,F$2,0),"-")</f>
        <v>-</v>
      </c>
      <c r="G29" s="26" t="str">
        <f>IFERROR(VLOOKUP($B29,'QB Reserve'!$A:$N,G$2,0),"-")</f>
        <v>-</v>
      </c>
      <c r="H29" s="26" t="str">
        <f>IFERROR(VLOOKUP($B29,'QB Reserve'!$A:$N,H$2,0),"-")</f>
        <v>-</v>
      </c>
      <c r="I29" s="26" t="str">
        <f>IFERROR(VLOOKUP($B29,'QB Reserve'!$A:$N,I$2,0),"-")</f>
        <v>-</v>
      </c>
      <c r="J29" s="26" t="str">
        <f>IFERROR(VLOOKUP($B29,'QB Reserve'!$A:$N,J$2,0),"-")</f>
        <v>-</v>
      </c>
      <c r="K29" s="26" t="str">
        <f>IFERROR(VLOOKUP($B29,'QB Reserve'!$A:$N,K$2,0),"-")</f>
        <v>-</v>
      </c>
      <c r="L29" s="26" t="str">
        <f>IFERROR(VLOOKUP($B29,'QB Reserve'!$A:$N,L$2,0),"-")</f>
        <v>-</v>
      </c>
      <c r="M29" s="26" t="str">
        <f>IFERROR(VLOOKUP($B29,'QB Reserve'!$A:$N,M$2,0),"-")</f>
        <v>-</v>
      </c>
      <c r="N29" s="26" t="str">
        <f>IFERROR(VLOOKUP($B29,'QB Reserve'!$A:$N,N$2,0),"-")</f>
        <v>-</v>
      </c>
      <c r="O29" s="15"/>
      <c r="P29" s="24" t="str">
        <f>IFERROR(VLOOKUP(B29,'QB Reserve'!A:P,16,0),"-")</f>
        <v>-</v>
      </c>
      <c r="Q29" s="15" t="str">
        <f>IFERROR(VLOOKUP(B29,'QB Reserve'!A:Q,17,0),"-")</f>
        <v>-</v>
      </c>
      <c r="R29" s="16" t="str">
        <f>IFERROR(VLOOKUP(B29,'QB Reserve'!A:T,20,0),"-")</f>
        <v>-</v>
      </c>
    </row>
  </sheetData>
  <mergeCells count="1">
    <mergeCell ref="E3:N3"/>
  </mergeCells>
  <conditionalFormatting sqref="B1 B4:B1048576">
    <cfRule type="duplicateValues" dxfId="25" priority="6"/>
    <cfRule type="duplicateValues" dxfId="24" priority="8"/>
  </conditionalFormatting>
  <conditionalFormatting sqref="E5:N29">
    <cfRule type="cellIs" dxfId="23" priority="7" operator="equal">
      <formula>0</formula>
    </cfRule>
  </conditionalFormatting>
  <conditionalFormatting sqref="B3">
    <cfRule type="duplicateValues" dxfId="14" priority="5"/>
  </conditionalFormatting>
  <conditionalFormatting sqref="B2">
    <cfRule type="duplicateValues" dxfId="5" priority="2"/>
  </conditionalFormatting>
  <conditionalFormatting sqref="B2">
    <cfRule type="duplicateValues" dxfId="4" priority="1"/>
  </conditionalFormatting>
  <dataValidations count="1">
    <dataValidation type="list" allowBlank="1" showInputMessage="1" showErrorMessage="1" sqref="C5:C29" xr:uid="{009ACAD6-59A5-4D53-9109-7B3032A5C0AD}">
      <formula1>TopicList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DDC4-B281-4E00-90B2-B400B209BEE7}">
  <dimension ref="A1:T2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cols>
    <col min="1" max="1" width="7.28515625" style="3" customWidth="1"/>
    <col min="2" max="2" width="9" style="3" customWidth="1"/>
    <col min="3" max="3" width="18.5703125" style="3" customWidth="1"/>
    <col min="4" max="4" width="59" style="3" customWidth="1"/>
    <col min="5" max="14" width="13" style="9" customWidth="1"/>
    <col min="15" max="15" width="10.5703125" style="9" customWidth="1"/>
    <col min="16" max="16" width="24.140625" style="3" customWidth="1"/>
    <col min="17" max="17" width="20" style="9" customWidth="1"/>
    <col min="18" max="18" width="20" style="3" hidden="1" customWidth="1"/>
  </cols>
  <sheetData>
    <row r="1" spans="1:20" ht="33" customHeight="1" thickBot="1" x14ac:dyDescent="0.3">
      <c r="A1" s="1" t="s">
        <v>58</v>
      </c>
      <c r="B1" s="1"/>
      <c r="C1" s="1"/>
      <c r="D1" s="29" t="s">
        <v>263</v>
      </c>
      <c r="E1" s="20"/>
      <c r="F1" s="22" t="s">
        <v>66</v>
      </c>
      <c r="G1" s="20"/>
      <c r="H1" s="19">
        <f>MAX(A:A)</f>
        <v>18</v>
      </c>
      <c r="I1" s="21"/>
      <c r="J1" s="22" t="s">
        <v>67</v>
      </c>
      <c r="K1" s="21"/>
      <c r="L1" s="19">
        <f>SUM(Q:Q)</f>
        <v>61</v>
      </c>
      <c r="M1" s="20"/>
      <c r="N1" s="22" t="s">
        <v>69</v>
      </c>
      <c r="O1" s="21"/>
      <c r="P1" s="23">
        <f>SUM(R:R)+5</f>
        <v>80</v>
      </c>
      <c r="Q1" s="20"/>
      <c r="R1" s="2"/>
      <c r="S1" s="33" t="s">
        <v>265</v>
      </c>
      <c r="T1" s="33">
        <f>+COUNTIF($S$5:$S$32,S1)</f>
        <v>8</v>
      </c>
    </row>
    <row r="2" spans="1:20" ht="34.5" customHeight="1" x14ac:dyDescent="0.25">
      <c r="B2" s="34" t="s">
        <v>275</v>
      </c>
      <c r="C2" s="14"/>
      <c r="E2" s="25">
        <v>5</v>
      </c>
      <c r="F2" s="25">
        <v>6</v>
      </c>
      <c r="G2" s="25">
        <v>7</v>
      </c>
      <c r="H2" s="25">
        <v>8</v>
      </c>
      <c r="I2" s="25">
        <v>9</v>
      </c>
      <c r="J2" s="25">
        <v>10</v>
      </c>
      <c r="K2" s="25">
        <v>11</v>
      </c>
      <c r="L2" s="25">
        <v>12</v>
      </c>
      <c r="M2" s="25">
        <v>13</v>
      </c>
      <c r="N2" s="25">
        <v>14</v>
      </c>
      <c r="S2" s="33" t="s">
        <v>266</v>
      </c>
      <c r="T2" s="33">
        <f t="shared" ref="T2:T3" si="0">+COUNTIF($S$5:$S$32,S2)</f>
        <v>3</v>
      </c>
    </row>
    <row r="3" spans="1:20" ht="66" x14ac:dyDescent="0.25">
      <c r="A3" s="13" t="s">
        <v>57</v>
      </c>
      <c r="B3" s="13" t="s">
        <v>270</v>
      </c>
      <c r="C3" s="13" t="s">
        <v>54</v>
      </c>
      <c r="D3" s="13" t="s">
        <v>33</v>
      </c>
      <c r="E3" s="30" t="s">
        <v>38</v>
      </c>
      <c r="F3" s="31"/>
      <c r="G3" s="31"/>
      <c r="H3" s="31"/>
      <c r="I3" s="31"/>
      <c r="J3" s="31"/>
      <c r="K3" s="31"/>
      <c r="L3" s="31"/>
      <c r="M3" s="31"/>
      <c r="N3" s="32"/>
      <c r="O3" s="13" t="s">
        <v>59</v>
      </c>
      <c r="P3" s="13" t="s">
        <v>36</v>
      </c>
      <c r="Q3" s="13" t="s">
        <v>45</v>
      </c>
      <c r="R3" s="13" t="s">
        <v>68</v>
      </c>
      <c r="S3" s="33" t="s">
        <v>267</v>
      </c>
      <c r="T3" s="33">
        <f t="shared" si="0"/>
        <v>7</v>
      </c>
    </row>
    <row r="4" spans="1:20" ht="16.5" x14ac:dyDescent="0.25">
      <c r="A4" s="10"/>
      <c r="B4" s="18" t="s">
        <v>64</v>
      </c>
      <c r="C4" s="10"/>
      <c r="D4" s="10"/>
      <c r="E4" s="10" t="s">
        <v>39</v>
      </c>
      <c r="F4" s="10" t="s">
        <v>40</v>
      </c>
      <c r="G4" s="10">
        <v>3</v>
      </c>
      <c r="H4" s="10">
        <v>4</v>
      </c>
      <c r="I4" s="10">
        <v>5</v>
      </c>
      <c r="J4" s="10">
        <v>6</v>
      </c>
      <c r="K4" s="10">
        <v>7</v>
      </c>
      <c r="L4" s="10">
        <v>8</v>
      </c>
      <c r="M4" s="10">
        <v>9</v>
      </c>
      <c r="N4" s="10">
        <v>10</v>
      </c>
      <c r="O4" s="10"/>
      <c r="P4" s="10"/>
      <c r="Q4" s="10"/>
      <c r="R4" s="10"/>
    </row>
    <row r="5" spans="1:20" ht="33.75" customHeight="1" x14ac:dyDescent="0.25">
      <c r="A5" s="15">
        <f>+IF(LEN(D5)&gt;5,1,"-")</f>
        <v>1</v>
      </c>
      <c r="B5" s="17">
        <v>2</v>
      </c>
      <c r="C5" s="15" t="s">
        <v>70</v>
      </c>
      <c r="D5" s="6" t="str">
        <f>IFERROR(VLOOKUP(B5,'QB Reserve'!A:C,3,0),"-")</f>
        <v>How many decimal points remain when 5.236 is multiplied with 100</v>
      </c>
      <c r="E5" s="26">
        <f>IFERROR(VLOOKUP($B5,'QB Reserve'!$A:$N,E$2,0),"-")</f>
        <v>0</v>
      </c>
      <c r="F5" s="26">
        <f>IFERROR(VLOOKUP($B5,'QB Reserve'!$A:$N,F$2,0),"-")</f>
        <v>1</v>
      </c>
      <c r="G5" s="26">
        <f>IFERROR(VLOOKUP($B5,'QB Reserve'!$A:$N,G$2,0),"-")</f>
        <v>2</v>
      </c>
      <c r="H5" s="26">
        <f>IFERROR(VLOOKUP($B5,'QB Reserve'!$A:$N,H$2,0),"-")</f>
        <v>3</v>
      </c>
      <c r="I5" s="26">
        <f>IFERROR(VLOOKUP($B5,'QB Reserve'!$A:$N,I$2,0),"-")</f>
        <v>0</v>
      </c>
      <c r="J5" s="26">
        <f>IFERROR(VLOOKUP($B5,'QB Reserve'!$A:$N,J$2,0),"-")</f>
        <v>0</v>
      </c>
      <c r="K5" s="26">
        <f>IFERROR(VLOOKUP($B5,'QB Reserve'!$A:$N,K$2,0),"-")</f>
        <v>0</v>
      </c>
      <c r="L5" s="26">
        <f>IFERROR(VLOOKUP($B5,'QB Reserve'!$A:$N,L$2,0),"-")</f>
        <v>0</v>
      </c>
      <c r="M5" s="26">
        <f>IFERROR(VLOOKUP($B5,'QB Reserve'!$A:$N,M$2,0),"-")</f>
        <v>0</v>
      </c>
      <c r="N5" s="26">
        <f>IFERROR(VLOOKUP($B5,'QB Reserve'!$A:$N,N$2,0),"-")</f>
        <v>0</v>
      </c>
      <c r="O5" s="15"/>
      <c r="P5" s="24" t="str">
        <f>IFERROR(VLOOKUP(B5,'QB Reserve'!A:P,16,0),"-")</f>
        <v>Multiply by 100 and check number of digits after decimal point</v>
      </c>
      <c r="Q5" s="15">
        <f>IFERROR(VLOOKUP(B5,'QB Reserve'!A:Q,17,0),"-")</f>
        <v>2</v>
      </c>
      <c r="R5" s="16" t="str">
        <f>IFERROR(VLOOKUP(B5,'QB Reserve'!A:T,20,0),"-")</f>
        <v>1 mins</v>
      </c>
      <c r="S5" t="str">
        <f>+VLOOKUP(B5,'QB Reserve'!A:W,23,0)</f>
        <v>User 2</v>
      </c>
    </row>
    <row r="6" spans="1:20" ht="33.75" customHeight="1" x14ac:dyDescent="0.25">
      <c r="A6" s="15">
        <f>+IF(LEN(D6)&gt;5,A5+1,"-")</f>
        <v>2</v>
      </c>
      <c r="B6" s="17">
        <v>3</v>
      </c>
      <c r="C6" s="15" t="str">
        <f>IFERROR(VLOOKUP(B6,'QB Reserve'!A:B,2,0),"-")</f>
        <v>Maths - Measurement</v>
      </c>
      <c r="D6" s="6" t="str">
        <f>IFERROR(VLOOKUP(B6,'QB Reserve'!A:C,3,0),"-")</f>
        <v>The length and breadth of a rectangle are respectively 5 and 2. Find area?</v>
      </c>
      <c r="E6" s="26">
        <f>IFERROR(VLOOKUP($B6,'QB Reserve'!$A:$N,E$2,0),"-")</f>
        <v>10</v>
      </c>
      <c r="F6" s="26">
        <f>IFERROR(VLOOKUP($B6,'QB Reserve'!$A:$N,F$2,0),"-")</f>
        <v>20</v>
      </c>
      <c r="G6" s="26">
        <f>IFERROR(VLOOKUP($B6,'QB Reserve'!$A:$N,G$2,0),"-")</f>
        <v>5</v>
      </c>
      <c r="H6" s="26">
        <f>IFERROR(VLOOKUP($B6,'QB Reserve'!$A:$N,H$2,0),"-")</f>
        <v>6</v>
      </c>
      <c r="I6" s="26">
        <f>IFERROR(VLOOKUP($B6,'QB Reserve'!$A:$N,I$2,0),"-")</f>
        <v>0</v>
      </c>
      <c r="J6" s="26">
        <f>IFERROR(VLOOKUP($B6,'QB Reserve'!$A:$N,J$2,0),"-")</f>
        <v>0</v>
      </c>
      <c r="K6" s="26">
        <f>IFERROR(VLOOKUP($B6,'QB Reserve'!$A:$N,K$2,0),"-")</f>
        <v>0</v>
      </c>
      <c r="L6" s="26">
        <f>IFERROR(VLOOKUP($B6,'QB Reserve'!$A:$N,L$2,0),"-")</f>
        <v>0</v>
      </c>
      <c r="M6" s="26">
        <f>IFERROR(VLOOKUP($B6,'QB Reserve'!$A:$N,M$2,0),"-")</f>
        <v>0</v>
      </c>
      <c r="N6" s="26">
        <f>IFERROR(VLOOKUP($B6,'QB Reserve'!$A:$N,N$2,0),"-")</f>
        <v>0</v>
      </c>
      <c r="O6" s="15"/>
      <c r="P6" s="24" t="str">
        <f>IFERROR(VLOOKUP(B6,'QB Reserve'!A:P,16,0),"-")</f>
        <v>Area = l*b</v>
      </c>
      <c r="Q6" s="15">
        <f>IFERROR(VLOOKUP(B6,'QB Reserve'!A:Q,17,0),"-")</f>
        <v>3</v>
      </c>
      <c r="R6" s="16">
        <f>IFERROR(VLOOKUP(B6,'QB Reserve'!A:T,20,0),"-")</f>
        <v>2</v>
      </c>
      <c r="S6" t="str">
        <f>+VLOOKUP(B6,'QB Reserve'!A:W,23,0)</f>
        <v>User 1</v>
      </c>
    </row>
    <row r="7" spans="1:20" ht="33.75" customHeight="1" x14ac:dyDescent="0.25">
      <c r="A7" s="15">
        <f t="shared" ref="A7:A29" si="1">+IF(LEN(D7)&gt;5,A6+1,"-")</f>
        <v>3</v>
      </c>
      <c r="B7" s="17">
        <v>4</v>
      </c>
      <c r="C7" s="15" t="str">
        <f>IFERROR(VLOOKUP(B7,'QB Reserve'!A:B,2,0),"-")</f>
        <v>Maths - Measurement</v>
      </c>
      <c r="D7" s="6" t="str">
        <f>IFERROR(VLOOKUP(B7,'QB Reserve'!A:C,3,0),"-")</f>
        <v>Radius of circle is 5cm. Find area in cm²?</v>
      </c>
      <c r="E7" s="26" t="str">
        <f>IFERROR(VLOOKUP($B7,'QB Reserve'!$A:$N,E$2,0),"-")</f>
        <v>25π</v>
      </c>
      <c r="F7" s="26" t="str">
        <f>IFERROR(VLOOKUP($B7,'QB Reserve'!$A:$N,F$2,0),"-")</f>
        <v>5π</v>
      </c>
      <c r="G7" s="26" t="str">
        <f>IFERROR(VLOOKUP($B7,'QB Reserve'!$A:$N,G$2,0),"-")</f>
        <v>10π</v>
      </c>
      <c r="H7" s="26">
        <f>IFERROR(VLOOKUP($B7,'QB Reserve'!$A:$N,H$2,0),"-")</f>
        <v>25</v>
      </c>
      <c r="I7" s="26" t="str">
        <f>IFERROR(VLOOKUP($B7,'QB Reserve'!$A:$N,I$2,0),"-")</f>
        <v>25π</v>
      </c>
      <c r="J7" s="26">
        <f>IFERROR(VLOOKUP($B7,'QB Reserve'!$A:$N,J$2,0),"-")</f>
        <v>0</v>
      </c>
      <c r="K7" s="26">
        <f>IFERROR(VLOOKUP($B7,'QB Reserve'!$A:$N,K$2,0),"-")</f>
        <v>0</v>
      </c>
      <c r="L7" s="26">
        <f>IFERROR(VLOOKUP($B7,'QB Reserve'!$A:$N,L$2,0),"-")</f>
        <v>0</v>
      </c>
      <c r="M7" s="26">
        <f>IFERROR(VLOOKUP($B7,'QB Reserve'!$A:$N,M$2,0),"-")</f>
        <v>0</v>
      </c>
      <c r="N7" s="26">
        <f>IFERROR(VLOOKUP($B7,'QB Reserve'!$A:$N,N$2,0),"-")</f>
        <v>0</v>
      </c>
      <c r="O7" s="15"/>
      <c r="P7" s="24" t="str">
        <f>IFERROR(VLOOKUP(B7,'QB Reserve'!A:P,16,0),"-")</f>
        <v>Area=πr²</v>
      </c>
      <c r="Q7" s="15">
        <f>IFERROR(VLOOKUP(B7,'QB Reserve'!A:Q,17,0),"-")</f>
        <v>2</v>
      </c>
      <c r="R7" s="16">
        <f>IFERROR(VLOOKUP(B7,'QB Reserve'!A:T,20,0),"-")</f>
        <v>2</v>
      </c>
      <c r="S7" t="str">
        <f>+VLOOKUP(B7,'QB Reserve'!A:W,23,0)</f>
        <v>User 3</v>
      </c>
    </row>
    <row r="8" spans="1:20" ht="33.75" customHeight="1" x14ac:dyDescent="0.25">
      <c r="A8" s="15">
        <f t="shared" si="1"/>
        <v>4</v>
      </c>
      <c r="B8" s="17">
        <v>1</v>
      </c>
      <c r="C8" s="15" t="str">
        <f>IFERROR(VLOOKUP(B8,'QB Reserve'!A:B,2,0),"-")</f>
        <v>Maths - Decimals</v>
      </c>
      <c r="D8" s="6" t="str">
        <f>IFERROR(VLOOKUP(B8,'QB Reserve'!A:C,3,0),"-")</f>
        <v>What is the decimal point of 5 in 5.05 number? Select your answer from the below list</v>
      </c>
      <c r="E8" s="26">
        <f>IFERROR(VLOOKUP($B8,'QB Reserve'!$A:$N,E$2,0),"-")</f>
        <v>1</v>
      </c>
      <c r="F8" s="26">
        <f>IFERROR(VLOOKUP($B8,'QB Reserve'!$A:$N,F$2,0),"-")</f>
        <v>2</v>
      </c>
      <c r="G8" s="26">
        <f>IFERROR(VLOOKUP($B8,'QB Reserve'!$A:$N,G$2,0),"-")</f>
        <v>0</v>
      </c>
      <c r="H8" s="26">
        <f>IFERROR(VLOOKUP($B8,'QB Reserve'!$A:$N,H$2,0),"-")</f>
        <v>0</v>
      </c>
      <c r="I8" s="26">
        <f>IFERROR(VLOOKUP($B8,'QB Reserve'!$A:$N,I$2,0),"-")</f>
        <v>0</v>
      </c>
      <c r="J8" s="26">
        <f>IFERROR(VLOOKUP($B8,'QB Reserve'!$A:$N,J$2,0),"-")</f>
        <v>0</v>
      </c>
      <c r="K8" s="26">
        <f>IFERROR(VLOOKUP($B8,'QB Reserve'!$A:$N,K$2,0),"-")</f>
        <v>0</v>
      </c>
      <c r="L8" s="26">
        <f>IFERROR(VLOOKUP($B8,'QB Reserve'!$A:$N,L$2,0),"-")</f>
        <v>0</v>
      </c>
      <c r="M8" s="26">
        <f>IFERROR(VLOOKUP($B8,'QB Reserve'!$A:$N,M$2,0),"-")</f>
        <v>0</v>
      </c>
      <c r="N8" s="26">
        <f>IFERROR(VLOOKUP($B8,'QB Reserve'!$A:$N,N$2,0),"-")</f>
        <v>0</v>
      </c>
      <c r="O8" s="15"/>
      <c r="P8" s="24" t="str">
        <f>IFERROR(VLOOKUP(B8,'QB Reserve'!A:P,16,0),"-")</f>
        <v>Count numbers from right to left</v>
      </c>
      <c r="Q8" s="15">
        <f>IFERROR(VLOOKUP(B8,'QB Reserve'!A:Q,17,0),"-")</f>
        <v>1</v>
      </c>
      <c r="R8" s="16">
        <f>IFERROR(VLOOKUP(B8,'QB Reserve'!A:T,20,0),"-")</f>
        <v>1</v>
      </c>
      <c r="S8" t="str">
        <f>+VLOOKUP(B8,'QB Reserve'!A:W,23,0)</f>
        <v>User 1</v>
      </c>
    </row>
    <row r="9" spans="1:20" ht="33.75" customHeight="1" x14ac:dyDescent="0.25">
      <c r="A9" s="15">
        <f t="shared" si="1"/>
        <v>5</v>
      </c>
      <c r="B9" s="17">
        <v>6</v>
      </c>
      <c r="C9" s="15" t="str">
        <f>IFERROR(VLOOKUP(B9,'QB Reserve'!A:B,2,0),"-")</f>
        <v>Maths - Addition/ Subtraction</v>
      </c>
      <c r="D9" s="6" t="str">
        <f>IFERROR(VLOOKUP(B9,'QB Reserve'!A:C,3,0),"-")</f>
        <v>Raju has 10 cookies and Aman has 25. They give their cookies to Aryan. How many cookies does Aryan have now?</v>
      </c>
      <c r="E9" s="26">
        <f>IFERROR(VLOOKUP($B9,'QB Reserve'!$A:$N,E$2,0),"-")</f>
        <v>35</v>
      </c>
      <c r="F9" s="26">
        <f>IFERROR(VLOOKUP($B9,'QB Reserve'!$A:$N,F$2,0),"-")</f>
        <v>30</v>
      </c>
      <c r="G9" s="26">
        <f>IFERROR(VLOOKUP($B9,'QB Reserve'!$A:$N,G$2,0),"-")</f>
        <v>0</v>
      </c>
      <c r="H9" s="26">
        <f>IFERROR(VLOOKUP($B9,'QB Reserve'!$A:$N,H$2,0),"-")</f>
        <v>0</v>
      </c>
      <c r="I9" s="26">
        <f>IFERROR(VLOOKUP($B9,'QB Reserve'!$A:$N,I$2,0),"-")</f>
        <v>0</v>
      </c>
      <c r="J9" s="26">
        <f>IFERROR(VLOOKUP($B9,'QB Reserve'!$A:$N,J$2,0),"-")</f>
        <v>0</v>
      </c>
      <c r="K9" s="26">
        <f>IFERROR(VLOOKUP($B9,'QB Reserve'!$A:$N,K$2,0),"-")</f>
        <v>0</v>
      </c>
      <c r="L9" s="26">
        <f>IFERROR(VLOOKUP($B9,'QB Reserve'!$A:$N,L$2,0),"-")</f>
        <v>0</v>
      </c>
      <c r="M9" s="26">
        <f>IFERROR(VLOOKUP($B9,'QB Reserve'!$A:$N,M$2,0),"-")</f>
        <v>0</v>
      </c>
      <c r="N9" s="26">
        <f>IFERROR(VLOOKUP($B9,'QB Reserve'!$A:$N,N$2,0),"-")</f>
        <v>0</v>
      </c>
      <c r="O9" s="15"/>
      <c r="P9" s="24" t="str">
        <f>IFERROR(VLOOKUP(B9,'QB Reserve'!A:P,16,0),"-")</f>
        <v>Assume variables and add</v>
      </c>
      <c r="Q9" s="15">
        <f>IFERROR(VLOOKUP(B9,'QB Reserve'!A:Q,17,0),"-")</f>
        <v>2</v>
      </c>
      <c r="R9" s="16">
        <f>IFERROR(VLOOKUP(B9,'QB Reserve'!A:T,20,0),"-")</f>
        <v>3</v>
      </c>
      <c r="S9" t="str">
        <f>+VLOOKUP(B9,'QB Reserve'!A:W,23,0)</f>
        <v>User 3</v>
      </c>
    </row>
    <row r="10" spans="1:20" ht="33.75" customHeight="1" x14ac:dyDescent="0.25">
      <c r="A10" s="15">
        <f t="shared" si="1"/>
        <v>6</v>
      </c>
      <c r="B10" s="17">
        <v>9</v>
      </c>
      <c r="C10" s="15" t="str">
        <f>IFERROR(VLOOKUP(B10,'QB Reserve'!A:B,2,0),"-")</f>
        <v>Maths - Time</v>
      </c>
      <c r="D10" s="6" t="str">
        <f>IFERROR(VLOOKUP(B10,'QB Reserve'!A:C,3,0),"-")</f>
        <v>How many seconds are in 1 hour?</v>
      </c>
      <c r="E10" s="26">
        <f>IFERROR(VLOOKUP($B10,'QB Reserve'!$A:$N,E$2,0),"-")</f>
        <v>3000</v>
      </c>
      <c r="F10" s="26">
        <f>IFERROR(VLOOKUP($B10,'QB Reserve'!$A:$N,F$2,0),"-")</f>
        <v>3600</v>
      </c>
      <c r="G10" s="26">
        <f>IFERROR(VLOOKUP($B10,'QB Reserve'!$A:$N,G$2,0),"-")</f>
        <v>0</v>
      </c>
      <c r="H10" s="26">
        <f>IFERROR(VLOOKUP($B10,'QB Reserve'!$A:$N,H$2,0),"-")</f>
        <v>0</v>
      </c>
      <c r="I10" s="26">
        <f>IFERROR(VLOOKUP($B10,'QB Reserve'!$A:$N,I$2,0),"-")</f>
        <v>0</v>
      </c>
      <c r="J10" s="26">
        <f>IFERROR(VLOOKUP($B10,'QB Reserve'!$A:$N,J$2,0),"-")</f>
        <v>0</v>
      </c>
      <c r="K10" s="26">
        <f>IFERROR(VLOOKUP($B10,'QB Reserve'!$A:$N,K$2,0),"-")</f>
        <v>0</v>
      </c>
      <c r="L10" s="26">
        <f>IFERROR(VLOOKUP($B10,'QB Reserve'!$A:$N,L$2,0),"-")</f>
        <v>0</v>
      </c>
      <c r="M10" s="26">
        <f>IFERROR(VLOOKUP($B10,'QB Reserve'!$A:$N,M$2,0),"-")</f>
        <v>0</v>
      </c>
      <c r="N10" s="26">
        <f>IFERROR(VLOOKUP($B10,'QB Reserve'!$A:$N,N$2,0),"-")</f>
        <v>0</v>
      </c>
      <c r="O10" s="15"/>
      <c r="P10" s="24">
        <f>IFERROR(VLOOKUP(B10,'QB Reserve'!A:P,16,0),"-")</f>
        <v>0</v>
      </c>
      <c r="Q10" s="15">
        <f>IFERROR(VLOOKUP(B10,'QB Reserve'!A:Q,17,0),"-")</f>
        <v>2</v>
      </c>
      <c r="R10" s="16">
        <f>IFERROR(VLOOKUP(B10,'QB Reserve'!A:T,20,0),"-")</f>
        <v>8</v>
      </c>
      <c r="S10" t="str">
        <f>+VLOOKUP(B10,'QB Reserve'!A:W,23,0)</f>
        <v>User 3</v>
      </c>
    </row>
    <row r="11" spans="1:20" ht="33.75" customHeight="1" x14ac:dyDescent="0.25">
      <c r="A11" s="15">
        <f t="shared" si="1"/>
        <v>7</v>
      </c>
      <c r="B11" s="17">
        <v>10</v>
      </c>
      <c r="C11" s="15" t="str">
        <f>IFERROR(VLOOKUP(B11,'QB Reserve'!A:B,2,0),"-")</f>
        <v>Maths - Arithmetic</v>
      </c>
      <c r="D11" s="6" t="str">
        <f>IFERROR(VLOOKUP(B11,'QB Reserve'!A:C,3,0),"-")</f>
        <v>What will be the result if 125 is Divided by 5?</v>
      </c>
      <c r="E11" s="26">
        <f>IFERROR(VLOOKUP($B11,'QB Reserve'!$A:$N,E$2,0),"-")</f>
        <v>20</v>
      </c>
      <c r="F11" s="26">
        <f>IFERROR(VLOOKUP($B11,'QB Reserve'!$A:$N,F$2,0),"-")</f>
        <v>10</v>
      </c>
      <c r="G11" s="26">
        <f>IFERROR(VLOOKUP($B11,'QB Reserve'!$A:$N,G$2,0),"-")</f>
        <v>25</v>
      </c>
      <c r="H11" s="26">
        <f>IFERROR(VLOOKUP($B11,'QB Reserve'!$A:$N,H$2,0),"-")</f>
        <v>30</v>
      </c>
      <c r="I11" s="26">
        <f>IFERROR(VLOOKUP($B11,'QB Reserve'!$A:$N,I$2,0),"-")</f>
        <v>0</v>
      </c>
      <c r="J11" s="26">
        <f>IFERROR(VLOOKUP($B11,'QB Reserve'!$A:$N,J$2,0),"-")</f>
        <v>0</v>
      </c>
      <c r="K11" s="26">
        <f>IFERROR(VLOOKUP($B11,'QB Reserve'!$A:$N,K$2,0),"-")</f>
        <v>0</v>
      </c>
      <c r="L11" s="26">
        <f>IFERROR(VLOOKUP($B11,'QB Reserve'!$A:$N,L$2,0),"-")</f>
        <v>0</v>
      </c>
      <c r="M11" s="26">
        <f>IFERROR(VLOOKUP($B11,'QB Reserve'!$A:$N,M$2,0),"-")</f>
        <v>0</v>
      </c>
      <c r="N11" s="26">
        <f>IFERROR(VLOOKUP($B11,'QB Reserve'!$A:$N,N$2,0),"-")</f>
        <v>0</v>
      </c>
      <c r="O11" s="15"/>
      <c r="P11" s="24">
        <f>IFERROR(VLOOKUP(B11,'QB Reserve'!A:P,16,0),"-")</f>
        <v>0</v>
      </c>
      <c r="Q11" s="15">
        <f>IFERROR(VLOOKUP(B11,'QB Reserve'!A:Q,17,0),"-")</f>
        <v>2</v>
      </c>
      <c r="R11" s="16">
        <f>IFERROR(VLOOKUP(B11,'QB Reserve'!A:T,20,0),"-")</f>
        <v>7</v>
      </c>
      <c r="S11" t="str">
        <f>+VLOOKUP(B11,'QB Reserve'!A:W,23,0)</f>
        <v>User 1</v>
      </c>
    </row>
    <row r="12" spans="1:20" ht="33.75" customHeight="1" x14ac:dyDescent="0.25">
      <c r="A12" s="15">
        <f t="shared" si="1"/>
        <v>8</v>
      </c>
      <c r="B12" s="17">
        <v>19</v>
      </c>
      <c r="C12" s="15" t="str">
        <f>IFERROR(VLOOKUP(B12,'QB Reserve'!A:B,2,0),"-")</f>
        <v>Science - Food</v>
      </c>
      <c r="D12" s="6" t="str">
        <f>IFERROR(VLOOKUP(B12,'QB Reserve'!A:C,3,0),"-")</f>
        <v>Potatoes contain a major part of what?</v>
      </c>
      <c r="E12" s="26" t="str">
        <f>IFERROR(VLOOKUP($B12,'QB Reserve'!$A:$N,E$2,0),"-")</f>
        <v>Carbohydrates</v>
      </c>
      <c r="F12" s="26" t="str">
        <f>IFERROR(VLOOKUP($B12,'QB Reserve'!$A:$N,F$2,0),"-")</f>
        <v>Proteins</v>
      </c>
      <c r="G12" s="26">
        <f>IFERROR(VLOOKUP($B12,'QB Reserve'!$A:$N,G$2,0),"-")</f>
        <v>0</v>
      </c>
      <c r="H12" s="26">
        <f>IFERROR(VLOOKUP($B12,'QB Reserve'!$A:$N,H$2,0),"-")</f>
        <v>0</v>
      </c>
      <c r="I12" s="26">
        <f>IFERROR(VLOOKUP($B12,'QB Reserve'!$A:$N,I$2,0),"-")</f>
        <v>0</v>
      </c>
      <c r="J12" s="26">
        <f>IFERROR(VLOOKUP($B12,'QB Reserve'!$A:$N,J$2,0),"-")</f>
        <v>0</v>
      </c>
      <c r="K12" s="26">
        <f>IFERROR(VLOOKUP($B12,'QB Reserve'!$A:$N,K$2,0),"-")</f>
        <v>0</v>
      </c>
      <c r="L12" s="26">
        <f>IFERROR(VLOOKUP($B12,'QB Reserve'!$A:$N,L$2,0),"-")</f>
        <v>0</v>
      </c>
      <c r="M12" s="26">
        <f>IFERROR(VLOOKUP($B12,'QB Reserve'!$A:$N,M$2,0),"-")</f>
        <v>0</v>
      </c>
      <c r="N12" s="26">
        <f>IFERROR(VLOOKUP($B12,'QB Reserve'!$A:$N,N$2,0),"-")</f>
        <v>0</v>
      </c>
      <c r="O12" s="15"/>
      <c r="P12" s="24">
        <f>IFERROR(VLOOKUP(B12,'QB Reserve'!A:P,16,0),"-")</f>
        <v>0</v>
      </c>
      <c r="Q12" s="15">
        <f>IFERROR(VLOOKUP(B12,'QB Reserve'!A:Q,17,0),"-")</f>
        <v>3</v>
      </c>
      <c r="R12" s="16">
        <f>IFERROR(VLOOKUP(B12,'QB Reserve'!A:T,20,0),"-")</f>
        <v>8</v>
      </c>
      <c r="S12" t="str">
        <f>+VLOOKUP(B12,'QB Reserve'!A:W,23,0)</f>
        <v>User 3</v>
      </c>
    </row>
    <row r="13" spans="1:20" ht="33.75" customHeight="1" x14ac:dyDescent="0.25">
      <c r="A13" s="15">
        <f t="shared" si="1"/>
        <v>9</v>
      </c>
      <c r="B13" s="17">
        <v>27</v>
      </c>
      <c r="C13" s="15" t="str">
        <f>IFERROR(VLOOKUP(B13,'QB Reserve'!A:B,2,0),"-")</f>
        <v>GK - Countries and Capitals</v>
      </c>
      <c r="D13" s="6" t="str">
        <f>IFERROR(VLOOKUP(B13,'QB Reserve'!A:C,3,0),"-")</f>
        <v>What is the capital of India?</v>
      </c>
      <c r="E13" s="26" t="str">
        <f>IFERROR(VLOOKUP($B13,'QB Reserve'!$A:$N,E$2,0),"-")</f>
        <v>Agra</v>
      </c>
      <c r="F13" s="26" t="str">
        <f>IFERROR(VLOOKUP($B13,'QB Reserve'!$A:$N,F$2,0),"-")</f>
        <v>Calcutta</v>
      </c>
      <c r="G13" s="26" t="str">
        <f>IFERROR(VLOOKUP($B13,'QB Reserve'!$A:$N,G$2,0),"-")</f>
        <v>Mumbai</v>
      </c>
      <c r="H13" s="26" t="str">
        <f>IFERROR(VLOOKUP($B13,'QB Reserve'!$A:$N,H$2,0),"-")</f>
        <v>Delhi</v>
      </c>
      <c r="I13" s="26" t="str">
        <f>IFERROR(VLOOKUP($B13,'QB Reserve'!$A:$N,I$2,0),"-")</f>
        <v>Amritsar</v>
      </c>
      <c r="J13" s="26">
        <f>IFERROR(VLOOKUP($B13,'QB Reserve'!$A:$N,J$2,0),"-")</f>
        <v>0</v>
      </c>
      <c r="K13" s="26">
        <f>IFERROR(VLOOKUP($B13,'QB Reserve'!$A:$N,K$2,0),"-")</f>
        <v>0</v>
      </c>
      <c r="L13" s="26">
        <f>IFERROR(VLOOKUP($B13,'QB Reserve'!$A:$N,L$2,0),"-")</f>
        <v>0</v>
      </c>
      <c r="M13" s="26">
        <f>IFERROR(VLOOKUP($B13,'QB Reserve'!$A:$N,M$2,0),"-")</f>
        <v>0</v>
      </c>
      <c r="N13" s="26">
        <f>IFERROR(VLOOKUP($B13,'QB Reserve'!$A:$N,N$2,0),"-")</f>
        <v>0</v>
      </c>
      <c r="O13" s="15"/>
      <c r="P13" s="24">
        <f>IFERROR(VLOOKUP(B13,'QB Reserve'!A:P,16,0),"-")</f>
        <v>0</v>
      </c>
      <c r="Q13" s="15">
        <f>IFERROR(VLOOKUP(B13,'QB Reserve'!A:Q,17,0),"-")</f>
        <v>2</v>
      </c>
      <c r="R13" s="16">
        <f>IFERROR(VLOOKUP(B13,'QB Reserve'!A:T,20,0),"-")</f>
        <v>1</v>
      </c>
      <c r="S13" t="str">
        <f>+VLOOKUP(B13,'QB Reserve'!A:W,23,0)</f>
        <v>User 1</v>
      </c>
    </row>
    <row r="14" spans="1:20" ht="33.75" customHeight="1" x14ac:dyDescent="0.25">
      <c r="A14" s="15">
        <f t="shared" si="1"/>
        <v>10</v>
      </c>
      <c r="B14" s="17">
        <v>28</v>
      </c>
      <c r="C14" s="15" t="str">
        <f>IFERROR(VLOOKUP(B14,'QB Reserve'!A:B,2,0),"-")</f>
        <v>GK - Countries and Capitals</v>
      </c>
      <c r="D14" s="6" t="str">
        <f>IFERROR(VLOOKUP(B14,'QB Reserve'!A:C,3,0),"-")</f>
        <v>What is the capital of China?</v>
      </c>
      <c r="E14" s="26" t="str">
        <f>IFERROR(VLOOKUP($B14,'QB Reserve'!$A:$N,E$2,0),"-")</f>
        <v>Beijing</v>
      </c>
      <c r="F14" s="26" t="str">
        <f>IFERROR(VLOOKUP($B14,'QB Reserve'!$A:$N,F$2,0),"-")</f>
        <v>Shanghai</v>
      </c>
      <c r="G14" s="26" t="str">
        <f>IFERROR(VLOOKUP($B14,'QB Reserve'!$A:$N,G$2,0),"-")</f>
        <v>Guangzhou</v>
      </c>
      <c r="H14" s="26">
        <f>IFERROR(VLOOKUP($B14,'QB Reserve'!$A:$N,H$2,0),"-")</f>
        <v>0</v>
      </c>
      <c r="I14" s="26">
        <f>IFERROR(VLOOKUP($B14,'QB Reserve'!$A:$N,I$2,0),"-")</f>
        <v>0</v>
      </c>
      <c r="J14" s="26">
        <f>IFERROR(VLOOKUP($B14,'QB Reserve'!$A:$N,J$2,0),"-")</f>
        <v>0</v>
      </c>
      <c r="K14" s="26">
        <f>IFERROR(VLOOKUP($B14,'QB Reserve'!$A:$N,K$2,0),"-")</f>
        <v>0</v>
      </c>
      <c r="L14" s="26">
        <f>IFERROR(VLOOKUP($B14,'QB Reserve'!$A:$N,L$2,0),"-")</f>
        <v>0</v>
      </c>
      <c r="M14" s="26">
        <f>IFERROR(VLOOKUP($B14,'QB Reserve'!$A:$N,M$2,0),"-")</f>
        <v>0</v>
      </c>
      <c r="N14" s="26">
        <f>IFERROR(VLOOKUP($B14,'QB Reserve'!$A:$N,N$2,0),"-")</f>
        <v>0</v>
      </c>
      <c r="O14" s="15"/>
      <c r="P14" s="24">
        <f>IFERROR(VLOOKUP(B14,'QB Reserve'!A:P,16,0),"-")</f>
        <v>0</v>
      </c>
      <c r="Q14" s="15">
        <f>IFERROR(VLOOKUP(B14,'QB Reserve'!A:Q,17,0),"-")</f>
        <v>3</v>
      </c>
      <c r="R14" s="16">
        <f>IFERROR(VLOOKUP(B14,'QB Reserve'!A:T,20,0),"-")</f>
        <v>4</v>
      </c>
      <c r="S14" t="str">
        <f>+VLOOKUP(B14,'QB Reserve'!A:W,23,0)</f>
        <v>User 3</v>
      </c>
    </row>
    <row r="15" spans="1:20" ht="33.75" customHeight="1" x14ac:dyDescent="0.25">
      <c r="A15" s="15">
        <f t="shared" si="1"/>
        <v>11</v>
      </c>
      <c r="B15" s="17">
        <v>29</v>
      </c>
      <c r="C15" s="15" t="str">
        <f>IFERROR(VLOOKUP(B15,'QB Reserve'!A:B,2,0),"-")</f>
        <v>GK - Countries and Capitals</v>
      </c>
      <c r="D15" s="6" t="str">
        <f>IFERROR(VLOOKUP(B15,'QB Reserve'!A:C,3,0),"-")</f>
        <v>What is the capital of Brazil?</v>
      </c>
      <c r="E15" s="26" t="str">
        <f>IFERROR(VLOOKUP($B15,'QB Reserve'!$A:$N,E$2,0),"-")</f>
        <v>Rio de Janeiro</v>
      </c>
      <c r="F15" s="26" t="str">
        <f>IFERROR(VLOOKUP($B15,'QB Reserve'!$A:$N,F$2,0),"-")</f>
        <v>Brasilia</v>
      </c>
      <c r="G15" s="26">
        <f>IFERROR(VLOOKUP($B15,'QB Reserve'!$A:$N,G$2,0),"-")</f>
        <v>0</v>
      </c>
      <c r="H15" s="26">
        <f>IFERROR(VLOOKUP($B15,'QB Reserve'!$A:$N,H$2,0),"-")</f>
        <v>0</v>
      </c>
      <c r="I15" s="26">
        <f>IFERROR(VLOOKUP($B15,'QB Reserve'!$A:$N,I$2,0),"-")</f>
        <v>0</v>
      </c>
      <c r="J15" s="26">
        <f>IFERROR(VLOOKUP($B15,'QB Reserve'!$A:$N,J$2,0),"-")</f>
        <v>0</v>
      </c>
      <c r="K15" s="26">
        <f>IFERROR(VLOOKUP($B15,'QB Reserve'!$A:$N,K$2,0),"-")</f>
        <v>0</v>
      </c>
      <c r="L15" s="26">
        <f>IFERROR(VLOOKUP($B15,'QB Reserve'!$A:$N,L$2,0),"-")</f>
        <v>0</v>
      </c>
      <c r="M15" s="26">
        <f>IFERROR(VLOOKUP($B15,'QB Reserve'!$A:$N,M$2,0),"-")</f>
        <v>0</v>
      </c>
      <c r="N15" s="26">
        <f>IFERROR(VLOOKUP($B15,'QB Reserve'!$A:$N,N$2,0),"-")</f>
        <v>0</v>
      </c>
      <c r="O15" s="15"/>
      <c r="P15" s="24">
        <f>IFERROR(VLOOKUP(B15,'QB Reserve'!A:P,16,0),"-")</f>
        <v>0</v>
      </c>
      <c r="Q15" s="15">
        <f>IFERROR(VLOOKUP(B15,'QB Reserve'!A:Q,17,0),"-")</f>
        <v>5</v>
      </c>
      <c r="R15" s="16">
        <f>IFERROR(VLOOKUP(B15,'QB Reserve'!A:T,20,0),"-")</f>
        <v>5</v>
      </c>
      <c r="S15" t="str">
        <f>+VLOOKUP(B15,'QB Reserve'!A:W,23,0)</f>
        <v>User 1</v>
      </c>
    </row>
    <row r="16" spans="1:20" ht="33.75" customHeight="1" x14ac:dyDescent="0.25">
      <c r="A16" s="15">
        <f t="shared" si="1"/>
        <v>12</v>
      </c>
      <c r="B16" s="17">
        <v>30</v>
      </c>
      <c r="C16" s="15" t="str">
        <f>IFERROR(VLOOKUP(B16,'QB Reserve'!A:B,2,0),"-")</f>
        <v>GK - India</v>
      </c>
      <c r="D16" s="6" t="str">
        <f>IFERROR(VLOOKUP(B16,'QB Reserve'!A:C,3,0),"-")</f>
        <v>Who was the first prime minister of India?</v>
      </c>
      <c r="E16" s="26" t="str">
        <f>IFERROR(VLOOKUP($B16,'QB Reserve'!$A:$N,E$2,0),"-")</f>
        <v>Jawaharlal Nehru</v>
      </c>
      <c r="F16" s="26" t="str">
        <f>IFERROR(VLOOKUP($B16,'QB Reserve'!$A:$N,F$2,0),"-")</f>
        <v>Rajendra Prasad</v>
      </c>
      <c r="G16" s="26" t="str">
        <f>IFERROR(VLOOKUP($B16,'QB Reserve'!$A:$N,G$2,0),"-")</f>
        <v>B. R. Ambedkar</v>
      </c>
      <c r="H16" s="26">
        <f>IFERROR(VLOOKUP($B16,'QB Reserve'!$A:$N,H$2,0),"-")</f>
        <v>0</v>
      </c>
      <c r="I16" s="26">
        <f>IFERROR(VLOOKUP($B16,'QB Reserve'!$A:$N,I$2,0),"-")</f>
        <v>0</v>
      </c>
      <c r="J16" s="26">
        <f>IFERROR(VLOOKUP($B16,'QB Reserve'!$A:$N,J$2,0),"-")</f>
        <v>0</v>
      </c>
      <c r="K16" s="26">
        <f>IFERROR(VLOOKUP($B16,'QB Reserve'!$A:$N,K$2,0),"-")</f>
        <v>0</v>
      </c>
      <c r="L16" s="26">
        <f>IFERROR(VLOOKUP($B16,'QB Reserve'!$A:$N,L$2,0),"-")</f>
        <v>0</v>
      </c>
      <c r="M16" s="26">
        <f>IFERROR(VLOOKUP($B16,'QB Reserve'!$A:$N,M$2,0),"-")</f>
        <v>0</v>
      </c>
      <c r="N16" s="26">
        <f>IFERROR(VLOOKUP($B16,'QB Reserve'!$A:$N,N$2,0),"-")</f>
        <v>0</v>
      </c>
      <c r="O16" s="15"/>
      <c r="P16" s="24">
        <f>IFERROR(VLOOKUP(B16,'QB Reserve'!A:P,16,0),"-")</f>
        <v>0</v>
      </c>
      <c r="Q16" s="15">
        <f>IFERROR(VLOOKUP(B16,'QB Reserve'!A:Q,17,0),"-")</f>
        <v>8</v>
      </c>
      <c r="R16" s="16">
        <f>IFERROR(VLOOKUP(B16,'QB Reserve'!A:T,20,0),"-")</f>
        <v>6</v>
      </c>
      <c r="S16" t="str">
        <f>+VLOOKUP(B16,'QB Reserve'!A:W,23,0)</f>
        <v>User 3</v>
      </c>
    </row>
    <row r="17" spans="1:19" ht="33.75" customHeight="1" x14ac:dyDescent="0.25">
      <c r="A17" s="15">
        <f t="shared" si="1"/>
        <v>13</v>
      </c>
      <c r="B17" s="17">
        <v>21</v>
      </c>
      <c r="C17" s="15" t="str">
        <f>IFERROR(VLOOKUP(B17,'QB Reserve'!A:B,2,0),"-")</f>
        <v>Science - Our Universe</v>
      </c>
      <c r="D17" s="6" t="str">
        <f>IFERROR(VLOOKUP(B17,'QB Reserve'!A:C,3,0),"-")</f>
        <v>Which is the hottest planet?</v>
      </c>
      <c r="E17" s="26" t="str">
        <f>IFERROR(VLOOKUP($B17,'QB Reserve'!$A:$N,E$2,0),"-")</f>
        <v>Venus</v>
      </c>
      <c r="F17" s="26" t="str">
        <f>IFERROR(VLOOKUP($B17,'QB Reserve'!$A:$N,F$2,0),"-")</f>
        <v>Mars</v>
      </c>
      <c r="G17" s="26" t="str">
        <f>IFERROR(VLOOKUP($B17,'QB Reserve'!$A:$N,G$2,0),"-")</f>
        <v>Mercury</v>
      </c>
      <c r="H17" s="26" t="str">
        <f>IFERROR(VLOOKUP($B17,'QB Reserve'!$A:$N,H$2,0),"-")</f>
        <v>Neptune</v>
      </c>
      <c r="I17" s="26" t="str">
        <f>IFERROR(VLOOKUP($B17,'QB Reserve'!$A:$N,I$2,0),"-")</f>
        <v>Uranus</v>
      </c>
      <c r="J17" s="26">
        <f>IFERROR(VLOOKUP($B17,'QB Reserve'!$A:$N,J$2,0),"-")</f>
        <v>0</v>
      </c>
      <c r="K17" s="26">
        <f>IFERROR(VLOOKUP($B17,'QB Reserve'!$A:$N,K$2,0),"-")</f>
        <v>0</v>
      </c>
      <c r="L17" s="26">
        <f>IFERROR(VLOOKUP($B17,'QB Reserve'!$A:$N,L$2,0),"-")</f>
        <v>0</v>
      </c>
      <c r="M17" s="26">
        <f>IFERROR(VLOOKUP($B17,'QB Reserve'!$A:$N,M$2,0),"-")</f>
        <v>0</v>
      </c>
      <c r="N17" s="26">
        <f>IFERROR(VLOOKUP($B17,'QB Reserve'!$A:$N,N$2,0),"-")</f>
        <v>0</v>
      </c>
      <c r="O17" s="15"/>
      <c r="P17" s="24">
        <f>IFERROR(VLOOKUP(B17,'QB Reserve'!A:P,16,0),"-")</f>
        <v>0</v>
      </c>
      <c r="Q17" s="15">
        <f>IFERROR(VLOOKUP(B17,'QB Reserve'!A:Q,17,0),"-")</f>
        <v>5</v>
      </c>
      <c r="R17" s="16">
        <f>IFERROR(VLOOKUP(B17,'QB Reserve'!A:T,20,0),"-")</f>
        <v>2</v>
      </c>
      <c r="S17" t="str">
        <f>+VLOOKUP(B17,'QB Reserve'!A:W,23,0)</f>
        <v>User 1</v>
      </c>
    </row>
    <row r="18" spans="1:19" ht="33.75" customHeight="1" x14ac:dyDescent="0.25">
      <c r="A18" s="15">
        <f t="shared" si="1"/>
        <v>14</v>
      </c>
      <c r="B18" s="17">
        <v>24</v>
      </c>
      <c r="C18" s="15" t="str">
        <f>IFERROR(VLOOKUP(B18,'QB Reserve'!A:B,2,0),"-")</f>
        <v>Science - Our Body</v>
      </c>
      <c r="D18" s="6" t="str">
        <f>IFERROR(VLOOKUP(B18,'QB Reserve'!A:C,3,0),"-")</f>
        <v>We inhale air through what part?</v>
      </c>
      <c r="E18" s="26" t="str">
        <f>IFERROR(VLOOKUP($B18,'QB Reserve'!$A:$N,E$2,0),"-")</f>
        <v>Hands</v>
      </c>
      <c r="F18" s="26" t="str">
        <f>IFERROR(VLOOKUP($B18,'QB Reserve'!$A:$N,F$2,0),"-")</f>
        <v>Nose</v>
      </c>
      <c r="G18" s="26" t="str">
        <f>IFERROR(VLOOKUP($B18,'QB Reserve'!$A:$N,G$2,0),"-")</f>
        <v>Ear</v>
      </c>
      <c r="H18" s="26" t="str">
        <f>IFERROR(VLOOKUP($B18,'QB Reserve'!$A:$N,H$2,0),"-")</f>
        <v>Eyes</v>
      </c>
      <c r="I18" s="26">
        <f>IFERROR(VLOOKUP($B18,'QB Reserve'!$A:$N,I$2,0),"-")</f>
        <v>0</v>
      </c>
      <c r="J18" s="26">
        <f>IFERROR(VLOOKUP($B18,'QB Reserve'!$A:$N,J$2,0),"-")</f>
        <v>0</v>
      </c>
      <c r="K18" s="26">
        <f>IFERROR(VLOOKUP($B18,'QB Reserve'!$A:$N,K$2,0),"-")</f>
        <v>0</v>
      </c>
      <c r="L18" s="26">
        <f>IFERROR(VLOOKUP($B18,'QB Reserve'!$A:$N,L$2,0),"-")</f>
        <v>0</v>
      </c>
      <c r="M18" s="26">
        <f>IFERROR(VLOOKUP($B18,'QB Reserve'!$A:$N,M$2,0),"-")</f>
        <v>0</v>
      </c>
      <c r="N18" s="26">
        <f>IFERROR(VLOOKUP($B18,'QB Reserve'!$A:$N,N$2,0),"-")</f>
        <v>0</v>
      </c>
      <c r="O18" s="15"/>
      <c r="P18" s="24">
        <f>IFERROR(VLOOKUP(B18,'QB Reserve'!A:P,16,0),"-")</f>
        <v>0</v>
      </c>
      <c r="Q18" s="15">
        <f>IFERROR(VLOOKUP(B18,'QB Reserve'!A:Q,17,0),"-")</f>
        <v>6</v>
      </c>
      <c r="R18" s="16">
        <f>IFERROR(VLOOKUP(B18,'QB Reserve'!A:T,20,0),"-")</f>
        <v>9</v>
      </c>
      <c r="S18" t="str">
        <f>+VLOOKUP(B18,'QB Reserve'!A:W,23,0)</f>
        <v>User 3</v>
      </c>
    </row>
    <row r="19" spans="1:19" ht="33.75" customHeight="1" x14ac:dyDescent="0.25">
      <c r="A19" s="15">
        <f t="shared" si="1"/>
        <v>15</v>
      </c>
      <c r="B19" s="17">
        <v>25</v>
      </c>
      <c r="C19" s="15" t="str">
        <f>IFERROR(VLOOKUP(B19,'QB Reserve'!A:B,2,0),"-")</f>
        <v>Science - Our Body</v>
      </c>
      <c r="D19" s="6" t="str">
        <f>IFERROR(VLOOKUP(B19,'QB Reserve'!A:C,3,0),"-")</f>
        <v>How many bones are there approximately in the human body?</v>
      </c>
      <c r="E19" s="26">
        <f>IFERROR(VLOOKUP($B19,'QB Reserve'!$A:$N,E$2,0),"-")</f>
        <v>216</v>
      </c>
      <c r="F19" s="26">
        <f>IFERROR(VLOOKUP($B19,'QB Reserve'!$A:$N,F$2,0),"-")</f>
        <v>50</v>
      </c>
      <c r="G19" s="26">
        <f>IFERROR(VLOOKUP($B19,'QB Reserve'!$A:$N,G$2,0),"-")</f>
        <v>500</v>
      </c>
      <c r="H19" s="26">
        <f>IFERROR(VLOOKUP($B19,'QB Reserve'!$A:$N,H$2,0),"-")</f>
        <v>1000</v>
      </c>
      <c r="I19" s="26">
        <f>IFERROR(VLOOKUP($B19,'QB Reserve'!$A:$N,I$2,0),"-")</f>
        <v>0</v>
      </c>
      <c r="J19" s="26">
        <f>IFERROR(VLOOKUP($B19,'QB Reserve'!$A:$N,J$2,0),"-")</f>
        <v>0</v>
      </c>
      <c r="K19" s="26">
        <f>IFERROR(VLOOKUP($B19,'QB Reserve'!$A:$N,K$2,0),"-")</f>
        <v>0</v>
      </c>
      <c r="L19" s="26">
        <f>IFERROR(VLOOKUP($B19,'QB Reserve'!$A:$N,L$2,0),"-")</f>
        <v>0</v>
      </c>
      <c r="M19" s="26">
        <f>IFERROR(VLOOKUP($B19,'QB Reserve'!$A:$N,M$2,0),"-")</f>
        <v>0</v>
      </c>
      <c r="N19" s="26">
        <f>IFERROR(VLOOKUP($B19,'QB Reserve'!$A:$N,N$2,0),"-")</f>
        <v>0</v>
      </c>
      <c r="O19" s="15"/>
      <c r="P19" s="24">
        <f>IFERROR(VLOOKUP(B19,'QB Reserve'!A:P,16,0),"-")</f>
        <v>0</v>
      </c>
      <c r="Q19" s="15">
        <f>IFERROR(VLOOKUP(B19,'QB Reserve'!A:Q,17,0),"-")</f>
        <v>2</v>
      </c>
      <c r="R19" s="16">
        <f>IFERROR(VLOOKUP(B19,'QB Reserve'!A:T,20,0),"-")</f>
        <v>8</v>
      </c>
      <c r="S19" t="str">
        <f>+VLOOKUP(B19,'QB Reserve'!A:W,23,0)</f>
        <v>User 2</v>
      </c>
    </row>
    <row r="20" spans="1:19" ht="33.75" customHeight="1" x14ac:dyDescent="0.25">
      <c r="A20" s="15">
        <f t="shared" si="1"/>
        <v>16</v>
      </c>
      <c r="B20" s="17">
        <v>26</v>
      </c>
      <c r="C20" s="15" t="str">
        <f>IFERROR(VLOOKUP(B20,'QB Reserve'!A:B,2,0),"-")</f>
        <v>GK - Countries and Capitals</v>
      </c>
      <c r="D20" s="6" t="str">
        <f>IFERROR(VLOOKUP(B20,'QB Reserve'!A:C,3,0),"-")</f>
        <v>Whati is the capital of Pakistan?</v>
      </c>
      <c r="E20" s="26" t="str">
        <f>IFERROR(VLOOKUP($B20,'QB Reserve'!$A:$N,E$2,0),"-")</f>
        <v>Islamabad</v>
      </c>
      <c r="F20" s="26" t="str">
        <f>IFERROR(VLOOKUP($B20,'QB Reserve'!$A:$N,F$2,0),"-")</f>
        <v>Karachi</v>
      </c>
      <c r="G20" s="26">
        <f>IFERROR(VLOOKUP($B20,'QB Reserve'!$A:$N,G$2,0),"-")</f>
        <v>0</v>
      </c>
      <c r="H20" s="26">
        <f>IFERROR(VLOOKUP($B20,'QB Reserve'!$A:$N,H$2,0),"-")</f>
        <v>0</v>
      </c>
      <c r="I20" s="26">
        <f>IFERROR(VLOOKUP($B20,'QB Reserve'!$A:$N,I$2,0),"-")</f>
        <v>0</v>
      </c>
      <c r="J20" s="26">
        <f>IFERROR(VLOOKUP($B20,'QB Reserve'!$A:$N,J$2,0),"-")</f>
        <v>0</v>
      </c>
      <c r="K20" s="26">
        <f>IFERROR(VLOOKUP($B20,'QB Reserve'!$A:$N,K$2,0),"-")</f>
        <v>0</v>
      </c>
      <c r="L20" s="26">
        <f>IFERROR(VLOOKUP($B20,'QB Reserve'!$A:$N,L$2,0),"-")</f>
        <v>0</v>
      </c>
      <c r="M20" s="26">
        <f>IFERROR(VLOOKUP($B20,'QB Reserve'!$A:$N,M$2,0),"-")</f>
        <v>0</v>
      </c>
      <c r="N20" s="26">
        <f>IFERROR(VLOOKUP($B20,'QB Reserve'!$A:$N,N$2,0),"-")</f>
        <v>0</v>
      </c>
      <c r="O20" s="15"/>
      <c r="P20" s="24">
        <f>IFERROR(VLOOKUP(B20,'QB Reserve'!A:P,16,0),"-")</f>
        <v>0</v>
      </c>
      <c r="Q20" s="15">
        <f>IFERROR(VLOOKUP(B20,'QB Reserve'!A:Q,17,0),"-")</f>
        <v>1</v>
      </c>
      <c r="R20" s="16">
        <f>IFERROR(VLOOKUP(B20,'QB Reserve'!A:T,20,0),"-")</f>
        <v>2</v>
      </c>
      <c r="S20" t="str">
        <f>+VLOOKUP(B20,'QB Reserve'!A:W,23,0)</f>
        <v>User 1</v>
      </c>
    </row>
    <row r="21" spans="1:19" ht="33.75" customHeight="1" x14ac:dyDescent="0.25">
      <c r="A21" s="15">
        <f t="shared" si="1"/>
        <v>17</v>
      </c>
      <c r="B21" s="17">
        <v>20</v>
      </c>
      <c r="C21" s="15" t="str">
        <f>IFERROR(VLOOKUP(B21,'QB Reserve'!A:B,2,0),"-")</f>
        <v>Science - Our Universe</v>
      </c>
      <c r="D21" s="6" t="str">
        <f>IFERROR(VLOOKUP(B21,'QB Reserve'!A:C,3,0),"-")</f>
        <v>How many planets are there in the Solar System?</v>
      </c>
      <c r="E21" s="26">
        <f>IFERROR(VLOOKUP($B21,'QB Reserve'!$A:$N,E$2,0),"-")</f>
        <v>8</v>
      </c>
      <c r="F21" s="26">
        <f>IFERROR(VLOOKUP($B21,'QB Reserve'!$A:$N,F$2,0),"-")</f>
        <v>9</v>
      </c>
      <c r="G21" s="26">
        <f>IFERROR(VLOOKUP($B21,'QB Reserve'!$A:$N,G$2,0),"-")</f>
        <v>10</v>
      </c>
      <c r="H21" s="26">
        <f>IFERROR(VLOOKUP($B21,'QB Reserve'!$A:$N,H$2,0),"-")</f>
        <v>7</v>
      </c>
      <c r="I21" s="26">
        <f>IFERROR(VLOOKUP($B21,'QB Reserve'!$A:$N,I$2,0),"-")</f>
        <v>0</v>
      </c>
      <c r="J21" s="26">
        <f>IFERROR(VLOOKUP($B21,'QB Reserve'!$A:$N,J$2,0),"-")</f>
        <v>0</v>
      </c>
      <c r="K21" s="26">
        <f>IFERROR(VLOOKUP($B21,'QB Reserve'!$A:$N,K$2,0),"-")</f>
        <v>0</v>
      </c>
      <c r="L21" s="26">
        <f>IFERROR(VLOOKUP($B21,'QB Reserve'!$A:$N,L$2,0),"-")</f>
        <v>0</v>
      </c>
      <c r="M21" s="26">
        <f>IFERROR(VLOOKUP($B21,'QB Reserve'!$A:$N,M$2,0),"-")</f>
        <v>0</v>
      </c>
      <c r="N21" s="26">
        <f>IFERROR(VLOOKUP($B21,'QB Reserve'!$A:$N,N$2,0),"-")</f>
        <v>0</v>
      </c>
      <c r="O21" s="15"/>
      <c r="P21" s="24">
        <f>IFERROR(VLOOKUP(B21,'QB Reserve'!A:P,16,0),"-")</f>
        <v>0</v>
      </c>
      <c r="Q21" s="15">
        <f>IFERROR(VLOOKUP(B21,'QB Reserve'!A:Q,17,0),"-")</f>
        <v>6</v>
      </c>
      <c r="R21" s="16">
        <f>IFERROR(VLOOKUP(B21,'QB Reserve'!A:T,20,0),"-")</f>
        <v>1</v>
      </c>
      <c r="S21" t="str">
        <f>+VLOOKUP(B21,'QB Reserve'!A:W,23,0)</f>
        <v>User 1</v>
      </c>
    </row>
    <row r="22" spans="1:19" ht="33.75" customHeight="1" x14ac:dyDescent="0.25">
      <c r="A22" s="15">
        <f t="shared" si="1"/>
        <v>18</v>
      </c>
      <c r="B22" s="17">
        <v>23</v>
      </c>
      <c r="C22" s="15" t="str">
        <f>IFERROR(VLOOKUP(B22,'QB Reserve'!A:B,2,0),"-")</f>
        <v>Science - Our Body</v>
      </c>
      <c r="D22" s="6" t="str">
        <f>IFERROR(VLOOKUP(B22,'QB Reserve'!A:C,3,0),"-")</f>
        <v>What part of the body has no blood supply?</v>
      </c>
      <c r="E22" s="26" t="str">
        <f>IFERROR(VLOOKUP($B22,'QB Reserve'!$A:$N,E$2,0),"-")</f>
        <v>Cornea</v>
      </c>
      <c r="F22" s="26" t="str">
        <f>IFERROR(VLOOKUP($B22,'QB Reserve'!$A:$N,F$2,0),"-")</f>
        <v>Hands</v>
      </c>
      <c r="G22" s="26" t="str">
        <f>IFERROR(VLOOKUP($B22,'QB Reserve'!$A:$N,G$2,0),"-")</f>
        <v>Feet</v>
      </c>
      <c r="H22" s="26" t="str">
        <f>IFERROR(VLOOKUP($B22,'QB Reserve'!$A:$N,H$2,0),"-")</f>
        <v>Ear</v>
      </c>
      <c r="I22" s="26">
        <f>IFERROR(VLOOKUP($B22,'QB Reserve'!$A:$N,I$2,0),"-")</f>
        <v>0</v>
      </c>
      <c r="J22" s="26">
        <f>IFERROR(VLOOKUP($B22,'QB Reserve'!$A:$N,J$2,0),"-")</f>
        <v>0</v>
      </c>
      <c r="K22" s="26">
        <f>IFERROR(VLOOKUP($B22,'QB Reserve'!$A:$N,K$2,0),"-")</f>
        <v>0</v>
      </c>
      <c r="L22" s="26">
        <f>IFERROR(VLOOKUP($B22,'QB Reserve'!$A:$N,L$2,0),"-")</f>
        <v>0</v>
      </c>
      <c r="M22" s="26">
        <f>IFERROR(VLOOKUP($B22,'QB Reserve'!$A:$N,M$2,0),"-")</f>
        <v>0</v>
      </c>
      <c r="N22" s="26">
        <f>IFERROR(VLOOKUP($B22,'QB Reserve'!$A:$N,N$2,0),"-")</f>
        <v>0</v>
      </c>
      <c r="O22" s="15"/>
      <c r="P22" s="24">
        <f>IFERROR(VLOOKUP(B22,'QB Reserve'!A:P,16,0),"-")</f>
        <v>0</v>
      </c>
      <c r="Q22" s="15">
        <f>IFERROR(VLOOKUP(B22,'QB Reserve'!A:Q,17,0),"-")</f>
        <v>6</v>
      </c>
      <c r="R22" s="16">
        <f>IFERROR(VLOOKUP(B22,'QB Reserve'!A:T,20,0),"-")</f>
        <v>6</v>
      </c>
      <c r="S22" t="str">
        <f>+VLOOKUP(B22,'QB Reserve'!A:W,23,0)</f>
        <v>User 2</v>
      </c>
    </row>
    <row r="23" spans="1:19" ht="33.75" hidden="1" customHeight="1" x14ac:dyDescent="0.25">
      <c r="A23" s="15" t="str">
        <f t="shared" si="1"/>
        <v>-</v>
      </c>
      <c r="B23" s="17"/>
      <c r="C23" s="15" t="str">
        <f>IFERROR(VLOOKUP(B23,'QB Reserve'!A:B,2,0),"-")</f>
        <v>-</v>
      </c>
      <c r="D23" s="6" t="str">
        <f>IFERROR(VLOOKUP(B23,'QB Reserve'!A:C,3,0),"-")</f>
        <v>-</v>
      </c>
      <c r="E23" s="26" t="str">
        <f>IFERROR(VLOOKUP($B23,'QB Reserve'!$A:$N,E$2,0),"-")</f>
        <v>-</v>
      </c>
      <c r="F23" s="26" t="str">
        <f>IFERROR(VLOOKUP($B23,'QB Reserve'!$A:$N,F$2,0),"-")</f>
        <v>-</v>
      </c>
      <c r="G23" s="26" t="str">
        <f>IFERROR(VLOOKUP($B23,'QB Reserve'!$A:$N,G$2,0),"-")</f>
        <v>-</v>
      </c>
      <c r="H23" s="26" t="str">
        <f>IFERROR(VLOOKUP($B23,'QB Reserve'!$A:$N,H$2,0),"-")</f>
        <v>-</v>
      </c>
      <c r="I23" s="26" t="str">
        <f>IFERROR(VLOOKUP($B23,'QB Reserve'!$A:$N,I$2,0),"-")</f>
        <v>-</v>
      </c>
      <c r="J23" s="26" t="str">
        <f>IFERROR(VLOOKUP($B23,'QB Reserve'!$A:$N,J$2,0),"-")</f>
        <v>-</v>
      </c>
      <c r="K23" s="26" t="str">
        <f>IFERROR(VLOOKUP($B23,'QB Reserve'!$A:$N,K$2,0),"-")</f>
        <v>-</v>
      </c>
      <c r="L23" s="26" t="str">
        <f>IFERROR(VLOOKUP($B23,'QB Reserve'!$A:$N,L$2,0),"-")</f>
        <v>-</v>
      </c>
      <c r="M23" s="26" t="str">
        <f>IFERROR(VLOOKUP($B23,'QB Reserve'!$A:$N,M$2,0),"-")</f>
        <v>-</v>
      </c>
      <c r="N23" s="26" t="str">
        <f>IFERROR(VLOOKUP($B23,'QB Reserve'!$A:$N,N$2,0),"-")</f>
        <v>-</v>
      </c>
      <c r="O23" s="15"/>
      <c r="P23" s="24" t="str">
        <f>IFERROR(VLOOKUP(B23,'QB Reserve'!A:P,16,0),"-")</f>
        <v>-</v>
      </c>
      <c r="Q23" s="15" t="str">
        <f>IFERROR(VLOOKUP(B23,'QB Reserve'!A:Q,17,0),"-")</f>
        <v>-</v>
      </c>
      <c r="R23" s="16" t="str">
        <f>IFERROR(VLOOKUP(B23,'QB Reserve'!A:T,20,0),"-")</f>
        <v>-</v>
      </c>
    </row>
    <row r="24" spans="1:19" ht="33.75" hidden="1" customHeight="1" x14ac:dyDescent="0.25">
      <c r="A24" s="15" t="str">
        <f t="shared" si="1"/>
        <v>-</v>
      </c>
      <c r="B24" s="17"/>
      <c r="C24" s="15" t="str">
        <f>IFERROR(VLOOKUP(B24,'QB Reserve'!A:B,2,0),"-")</f>
        <v>-</v>
      </c>
      <c r="D24" s="6" t="str">
        <f>IFERROR(VLOOKUP(B24,'QB Reserve'!A:C,3,0),"-")</f>
        <v>-</v>
      </c>
      <c r="E24" s="26" t="str">
        <f>IFERROR(VLOOKUP($B24,'QB Reserve'!$A:$N,E$2,0),"-")</f>
        <v>-</v>
      </c>
      <c r="F24" s="26" t="str">
        <f>IFERROR(VLOOKUP($B24,'QB Reserve'!$A:$N,F$2,0),"-")</f>
        <v>-</v>
      </c>
      <c r="G24" s="26" t="str">
        <f>IFERROR(VLOOKUP($B24,'QB Reserve'!$A:$N,G$2,0),"-")</f>
        <v>-</v>
      </c>
      <c r="H24" s="26" t="str">
        <f>IFERROR(VLOOKUP($B24,'QB Reserve'!$A:$N,H$2,0),"-")</f>
        <v>-</v>
      </c>
      <c r="I24" s="26" t="str">
        <f>IFERROR(VLOOKUP($B24,'QB Reserve'!$A:$N,I$2,0),"-")</f>
        <v>-</v>
      </c>
      <c r="J24" s="26" t="str">
        <f>IFERROR(VLOOKUP($B24,'QB Reserve'!$A:$N,J$2,0),"-")</f>
        <v>-</v>
      </c>
      <c r="K24" s="26" t="str">
        <f>IFERROR(VLOOKUP($B24,'QB Reserve'!$A:$N,K$2,0),"-")</f>
        <v>-</v>
      </c>
      <c r="L24" s="26" t="str">
        <f>IFERROR(VLOOKUP($B24,'QB Reserve'!$A:$N,L$2,0),"-")</f>
        <v>-</v>
      </c>
      <c r="M24" s="26" t="str">
        <f>IFERROR(VLOOKUP($B24,'QB Reserve'!$A:$N,M$2,0),"-")</f>
        <v>-</v>
      </c>
      <c r="N24" s="26" t="str">
        <f>IFERROR(VLOOKUP($B24,'QB Reserve'!$A:$N,N$2,0),"-")</f>
        <v>-</v>
      </c>
      <c r="O24" s="15"/>
      <c r="P24" s="24" t="str">
        <f>IFERROR(VLOOKUP(B24,'QB Reserve'!A:P,16,0),"-")</f>
        <v>-</v>
      </c>
      <c r="Q24" s="15" t="str">
        <f>IFERROR(VLOOKUP(B24,'QB Reserve'!A:Q,17,0),"-")</f>
        <v>-</v>
      </c>
      <c r="R24" s="16" t="str">
        <f>IFERROR(VLOOKUP(B24,'QB Reserve'!A:T,20,0),"-")</f>
        <v>-</v>
      </c>
    </row>
    <row r="25" spans="1:19" ht="33.75" hidden="1" customHeight="1" x14ac:dyDescent="0.25">
      <c r="A25" s="15" t="str">
        <f t="shared" si="1"/>
        <v>-</v>
      </c>
      <c r="B25" s="17"/>
      <c r="C25" s="15" t="str">
        <f>IFERROR(VLOOKUP(B25,'QB Reserve'!A:B,2,0),"-")</f>
        <v>-</v>
      </c>
      <c r="D25" s="6" t="str">
        <f>IFERROR(VLOOKUP(B25,'QB Reserve'!A:C,3,0),"-")</f>
        <v>-</v>
      </c>
      <c r="E25" s="26" t="str">
        <f>IFERROR(VLOOKUP($B25,'QB Reserve'!$A:$N,E$2,0),"-")</f>
        <v>-</v>
      </c>
      <c r="F25" s="26" t="str">
        <f>IFERROR(VLOOKUP($B25,'QB Reserve'!$A:$N,F$2,0),"-")</f>
        <v>-</v>
      </c>
      <c r="G25" s="26" t="str">
        <f>IFERROR(VLOOKUP($B25,'QB Reserve'!$A:$N,G$2,0),"-")</f>
        <v>-</v>
      </c>
      <c r="H25" s="26" t="str">
        <f>IFERROR(VLOOKUP($B25,'QB Reserve'!$A:$N,H$2,0),"-")</f>
        <v>-</v>
      </c>
      <c r="I25" s="26" t="str">
        <f>IFERROR(VLOOKUP($B25,'QB Reserve'!$A:$N,I$2,0),"-")</f>
        <v>-</v>
      </c>
      <c r="J25" s="26" t="str">
        <f>IFERROR(VLOOKUP($B25,'QB Reserve'!$A:$N,J$2,0),"-")</f>
        <v>-</v>
      </c>
      <c r="K25" s="26" t="str">
        <f>IFERROR(VLOOKUP($B25,'QB Reserve'!$A:$N,K$2,0),"-")</f>
        <v>-</v>
      </c>
      <c r="L25" s="26" t="str">
        <f>IFERROR(VLOOKUP($B25,'QB Reserve'!$A:$N,L$2,0),"-")</f>
        <v>-</v>
      </c>
      <c r="M25" s="26" t="str">
        <f>IFERROR(VLOOKUP($B25,'QB Reserve'!$A:$N,M$2,0),"-")</f>
        <v>-</v>
      </c>
      <c r="N25" s="26" t="str">
        <f>IFERROR(VLOOKUP($B25,'QB Reserve'!$A:$N,N$2,0),"-")</f>
        <v>-</v>
      </c>
      <c r="O25" s="15"/>
      <c r="P25" s="24" t="str">
        <f>IFERROR(VLOOKUP(B25,'QB Reserve'!A:P,16,0),"-")</f>
        <v>-</v>
      </c>
      <c r="Q25" s="15" t="str">
        <f>IFERROR(VLOOKUP(B25,'QB Reserve'!A:Q,17,0),"-")</f>
        <v>-</v>
      </c>
      <c r="R25" s="16" t="str">
        <f>IFERROR(VLOOKUP(B25,'QB Reserve'!A:T,20,0),"-")</f>
        <v>-</v>
      </c>
    </row>
    <row r="26" spans="1:19" ht="33.75" hidden="1" customHeight="1" x14ac:dyDescent="0.25">
      <c r="A26" s="15" t="str">
        <f t="shared" si="1"/>
        <v>-</v>
      </c>
      <c r="B26" s="17"/>
      <c r="C26" s="15" t="str">
        <f>IFERROR(VLOOKUP(B26,'QB Reserve'!A:B,2,0),"-")</f>
        <v>-</v>
      </c>
      <c r="D26" s="6" t="str">
        <f>IFERROR(VLOOKUP(B26,'QB Reserve'!A:C,3,0),"-")</f>
        <v>-</v>
      </c>
      <c r="E26" s="26" t="str">
        <f>IFERROR(VLOOKUP($B26,'QB Reserve'!$A:$N,E$2,0),"-")</f>
        <v>-</v>
      </c>
      <c r="F26" s="26" t="str">
        <f>IFERROR(VLOOKUP($B26,'QB Reserve'!$A:$N,F$2,0),"-")</f>
        <v>-</v>
      </c>
      <c r="G26" s="26" t="str">
        <f>IFERROR(VLOOKUP($B26,'QB Reserve'!$A:$N,G$2,0),"-")</f>
        <v>-</v>
      </c>
      <c r="H26" s="26" t="str">
        <f>IFERROR(VLOOKUP($B26,'QB Reserve'!$A:$N,H$2,0),"-")</f>
        <v>-</v>
      </c>
      <c r="I26" s="26" t="str">
        <f>IFERROR(VLOOKUP($B26,'QB Reserve'!$A:$N,I$2,0),"-")</f>
        <v>-</v>
      </c>
      <c r="J26" s="26" t="str">
        <f>IFERROR(VLOOKUP($B26,'QB Reserve'!$A:$N,J$2,0),"-")</f>
        <v>-</v>
      </c>
      <c r="K26" s="26" t="str">
        <f>IFERROR(VLOOKUP($B26,'QB Reserve'!$A:$N,K$2,0),"-")</f>
        <v>-</v>
      </c>
      <c r="L26" s="26" t="str">
        <f>IFERROR(VLOOKUP($B26,'QB Reserve'!$A:$N,L$2,0),"-")</f>
        <v>-</v>
      </c>
      <c r="M26" s="26" t="str">
        <f>IFERROR(VLOOKUP($B26,'QB Reserve'!$A:$N,M$2,0),"-")</f>
        <v>-</v>
      </c>
      <c r="N26" s="26" t="str">
        <f>IFERROR(VLOOKUP($B26,'QB Reserve'!$A:$N,N$2,0),"-")</f>
        <v>-</v>
      </c>
      <c r="O26" s="15"/>
      <c r="P26" s="24" t="str">
        <f>IFERROR(VLOOKUP(B26,'QB Reserve'!A:P,16,0),"-")</f>
        <v>-</v>
      </c>
      <c r="Q26" s="15" t="str">
        <f>IFERROR(VLOOKUP(B26,'QB Reserve'!A:Q,17,0),"-")</f>
        <v>-</v>
      </c>
      <c r="R26" s="16" t="str">
        <f>IFERROR(VLOOKUP(B26,'QB Reserve'!A:T,20,0),"-")</f>
        <v>-</v>
      </c>
    </row>
    <row r="27" spans="1:19" ht="33.75" hidden="1" customHeight="1" x14ac:dyDescent="0.25">
      <c r="A27" s="15" t="str">
        <f t="shared" si="1"/>
        <v>-</v>
      </c>
      <c r="B27" s="17"/>
      <c r="C27" s="15" t="str">
        <f>IFERROR(VLOOKUP(B27,'QB Reserve'!A:B,2,0),"-")</f>
        <v>-</v>
      </c>
      <c r="D27" s="6" t="str">
        <f>IFERROR(VLOOKUP(B27,'QB Reserve'!A:C,3,0),"-")</f>
        <v>-</v>
      </c>
      <c r="E27" s="26" t="str">
        <f>IFERROR(VLOOKUP($B27,'QB Reserve'!$A:$N,E$2,0),"-")</f>
        <v>-</v>
      </c>
      <c r="F27" s="26" t="str">
        <f>IFERROR(VLOOKUP($B27,'QB Reserve'!$A:$N,F$2,0),"-")</f>
        <v>-</v>
      </c>
      <c r="G27" s="26" t="str">
        <f>IFERROR(VLOOKUP($B27,'QB Reserve'!$A:$N,G$2,0),"-")</f>
        <v>-</v>
      </c>
      <c r="H27" s="26" t="str">
        <f>IFERROR(VLOOKUP($B27,'QB Reserve'!$A:$N,H$2,0),"-")</f>
        <v>-</v>
      </c>
      <c r="I27" s="26" t="str">
        <f>IFERROR(VLOOKUP($B27,'QB Reserve'!$A:$N,I$2,0),"-")</f>
        <v>-</v>
      </c>
      <c r="J27" s="26" t="str">
        <f>IFERROR(VLOOKUP($B27,'QB Reserve'!$A:$N,J$2,0),"-")</f>
        <v>-</v>
      </c>
      <c r="K27" s="26" t="str">
        <f>IFERROR(VLOOKUP($B27,'QB Reserve'!$A:$N,K$2,0),"-")</f>
        <v>-</v>
      </c>
      <c r="L27" s="26" t="str">
        <f>IFERROR(VLOOKUP($B27,'QB Reserve'!$A:$N,L$2,0),"-")</f>
        <v>-</v>
      </c>
      <c r="M27" s="26" t="str">
        <f>IFERROR(VLOOKUP($B27,'QB Reserve'!$A:$N,M$2,0),"-")</f>
        <v>-</v>
      </c>
      <c r="N27" s="26" t="str">
        <f>IFERROR(VLOOKUP($B27,'QB Reserve'!$A:$N,N$2,0),"-")</f>
        <v>-</v>
      </c>
      <c r="O27" s="15"/>
      <c r="P27" s="24" t="str">
        <f>IFERROR(VLOOKUP(B27,'QB Reserve'!A:P,16,0),"-")</f>
        <v>-</v>
      </c>
      <c r="Q27" s="15" t="str">
        <f>IFERROR(VLOOKUP(B27,'QB Reserve'!A:Q,17,0),"-")</f>
        <v>-</v>
      </c>
      <c r="R27" s="16" t="str">
        <f>IFERROR(VLOOKUP(B27,'QB Reserve'!A:T,20,0),"-")</f>
        <v>-</v>
      </c>
    </row>
    <row r="28" spans="1:19" ht="33.75" hidden="1" customHeight="1" x14ac:dyDescent="0.25">
      <c r="A28" s="15" t="str">
        <f t="shared" si="1"/>
        <v>-</v>
      </c>
      <c r="B28" s="17"/>
      <c r="C28" s="15" t="str">
        <f>IFERROR(VLOOKUP(B28,'QB Reserve'!A:B,2,0),"-")</f>
        <v>-</v>
      </c>
      <c r="D28" s="6" t="str">
        <f>IFERROR(VLOOKUP(B28,'QB Reserve'!A:C,3,0),"-")</f>
        <v>-</v>
      </c>
      <c r="E28" s="26" t="str">
        <f>IFERROR(VLOOKUP($B28,'QB Reserve'!$A:$N,E$2,0),"-")</f>
        <v>-</v>
      </c>
      <c r="F28" s="26" t="str">
        <f>IFERROR(VLOOKUP($B28,'QB Reserve'!$A:$N,F$2,0),"-")</f>
        <v>-</v>
      </c>
      <c r="G28" s="26" t="str">
        <f>IFERROR(VLOOKUP($B28,'QB Reserve'!$A:$N,G$2,0),"-")</f>
        <v>-</v>
      </c>
      <c r="H28" s="26" t="str">
        <f>IFERROR(VLOOKUP($B28,'QB Reserve'!$A:$N,H$2,0),"-")</f>
        <v>-</v>
      </c>
      <c r="I28" s="26" t="str">
        <f>IFERROR(VLOOKUP($B28,'QB Reserve'!$A:$N,I$2,0),"-")</f>
        <v>-</v>
      </c>
      <c r="J28" s="26" t="str">
        <f>IFERROR(VLOOKUP($B28,'QB Reserve'!$A:$N,J$2,0),"-")</f>
        <v>-</v>
      </c>
      <c r="K28" s="26" t="str">
        <f>IFERROR(VLOOKUP($B28,'QB Reserve'!$A:$N,K$2,0),"-")</f>
        <v>-</v>
      </c>
      <c r="L28" s="26" t="str">
        <f>IFERROR(VLOOKUP($B28,'QB Reserve'!$A:$N,L$2,0),"-")</f>
        <v>-</v>
      </c>
      <c r="M28" s="26" t="str">
        <f>IFERROR(VLOOKUP($B28,'QB Reserve'!$A:$N,M$2,0),"-")</f>
        <v>-</v>
      </c>
      <c r="N28" s="26" t="str">
        <f>IFERROR(VLOOKUP($B28,'QB Reserve'!$A:$N,N$2,0),"-")</f>
        <v>-</v>
      </c>
      <c r="O28" s="15"/>
      <c r="P28" s="24" t="str">
        <f>IFERROR(VLOOKUP(B28,'QB Reserve'!A:P,16,0),"-")</f>
        <v>-</v>
      </c>
      <c r="Q28" s="15" t="str">
        <f>IFERROR(VLOOKUP(B28,'QB Reserve'!A:Q,17,0),"-")</f>
        <v>-</v>
      </c>
      <c r="R28" s="16" t="str">
        <f>IFERROR(VLOOKUP(B28,'QB Reserve'!A:T,20,0),"-")</f>
        <v>-</v>
      </c>
    </row>
    <row r="29" spans="1:19" ht="33.75" hidden="1" customHeight="1" x14ac:dyDescent="0.25">
      <c r="A29" s="15" t="str">
        <f t="shared" si="1"/>
        <v>-</v>
      </c>
      <c r="B29" s="17"/>
      <c r="C29" s="15" t="str">
        <f>IFERROR(VLOOKUP(B29,'QB Reserve'!A:B,2,0),"-")</f>
        <v>-</v>
      </c>
      <c r="D29" s="6" t="str">
        <f>IFERROR(VLOOKUP(B29,'QB Reserve'!A:C,3,0),"-")</f>
        <v>-</v>
      </c>
      <c r="E29" s="26" t="str">
        <f>IFERROR(VLOOKUP($B29,'QB Reserve'!$A:$N,E$2,0),"-")</f>
        <v>-</v>
      </c>
      <c r="F29" s="26" t="str">
        <f>IFERROR(VLOOKUP($B29,'QB Reserve'!$A:$N,F$2,0),"-")</f>
        <v>-</v>
      </c>
      <c r="G29" s="26" t="str">
        <f>IFERROR(VLOOKUP($B29,'QB Reserve'!$A:$N,G$2,0),"-")</f>
        <v>-</v>
      </c>
      <c r="H29" s="26" t="str">
        <f>IFERROR(VLOOKUP($B29,'QB Reserve'!$A:$N,H$2,0),"-")</f>
        <v>-</v>
      </c>
      <c r="I29" s="26" t="str">
        <f>IFERROR(VLOOKUP($B29,'QB Reserve'!$A:$N,I$2,0),"-")</f>
        <v>-</v>
      </c>
      <c r="J29" s="26" t="str">
        <f>IFERROR(VLOOKUP($B29,'QB Reserve'!$A:$N,J$2,0),"-")</f>
        <v>-</v>
      </c>
      <c r="K29" s="26" t="str">
        <f>IFERROR(VLOOKUP($B29,'QB Reserve'!$A:$N,K$2,0),"-")</f>
        <v>-</v>
      </c>
      <c r="L29" s="26" t="str">
        <f>IFERROR(VLOOKUP($B29,'QB Reserve'!$A:$N,L$2,0),"-")</f>
        <v>-</v>
      </c>
      <c r="M29" s="26" t="str">
        <f>IFERROR(VLOOKUP($B29,'QB Reserve'!$A:$N,M$2,0),"-")</f>
        <v>-</v>
      </c>
      <c r="N29" s="26" t="str">
        <f>IFERROR(VLOOKUP($B29,'QB Reserve'!$A:$N,N$2,0),"-")</f>
        <v>-</v>
      </c>
      <c r="O29" s="15"/>
      <c r="P29" s="24" t="str">
        <f>IFERROR(VLOOKUP(B29,'QB Reserve'!A:P,16,0),"-")</f>
        <v>-</v>
      </c>
      <c r="Q29" s="15" t="str">
        <f>IFERROR(VLOOKUP(B29,'QB Reserve'!A:Q,17,0),"-")</f>
        <v>-</v>
      </c>
      <c r="R29" s="16" t="str">
        <f>IFERROR(VLOOKUP(B29,'QB Reserve'!A:T,20,0),"-")</f>
        <v>-</v>
      </c>
    </row>
  </sheetData>
  <mergeCells count="1">
    <mergeCell ref="E3:N3"/>
  </mergeCells>
  <conditionalFormatting sqref="B1 B4:B1048576">
    <cfRule type="duplicateValues" dxfId="22" priority="4"/>
    <cfRule type="duplicateValues" dxfId="21" priority="6"/>
  </conditionalFormatting>
  <conditionalFormatting sqref="E5:N29">
    <cfRule type="cellIs" dxfId="20" priority="5" operator="equal">
      <formula>0</formula>
    </cfRule>
  </conditionalFormatting>
  <conditionalFormatting sqref="B3">
    <cfRule type="duplicateValues" dxfId="13" priority="3"/>
  </conditionalFormatting>
  <conditionalFormatting sqref="B2">
    <cfRule type="duplicateValues" dxfId="3" priority="2"/>
  </conditionalFormatting>
  <conditionalFormatting sqref="B2">
    <cfRule type="duplicateValues" dxfId="2" priority="1"/>
  </conditionalFormatting>
  <dataValidations count="1">
    <dataValidation type="list" allowBlank="1" showInputMessage="1" showErrorMessage="1" sqref="C5:C29" xr:uid="{EA44661A-694B-4D75-843F-C4532B01A578}">
      <formula1>TopicList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BB9A-4052-4D6B-8470-0FAAACB470B6}">
  <dimension ref="A1:T2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cols>
    <col min="1" max="1" width="7.28515625" style="3" customWidth="1"/>
    <col min="2" max="2" width="9" style="3" customWidth="1"/>
    <col min="3" max="3" width="18.5703125" style="3" customWidth="1"/>
    <col min="4" max="4" width="59" style="3" customWidth="1"/>
    <col min="5" max="14" width="13" style="9" customWidth="1"/>
    <col min="15" max="15" width="10.5703125" style="9" customWidth="1"/>
    <col min="16" max="16" width="24.140625" style="3" customWidth="1"/>
    <col min="17" max="17" width="20" style="9" customWidth="1"/>
    <col min="18" max="18" width="20" style="3" hidden="1" customWidth="1"/>
  </cols>
  <sheetData>
    <row r="1" spans="1:20" ht="33" customHeight="1" thickBot="1" x14ac:dyDescent="0.3">
      <c r="A1" s="1" t="s">
        <v>58</v>
      </c>
      <c r="B1" s="1"/>
      <c r="C1" s="1"/>
      <c r="D1" s="29" t="s">
        <v>264</v>
      </c>
      <c r="E1" s="20"/>
      <c r="F1" s="22" t="s">
        <v>66</v>
      </c>
      <c r="G1" s="20"/>
      <c r="H1" s="19">
        <f>MAX(A:A)</f>
        <v>25</v>
      </c>
      <c r="I1" s="21"/>
      <c r="J1" s="22" t="s">
        <v>67</v>
      </c>
      <c r="K1" s="21"/>
      <c r="L1" s="19">
        <f>SUM(Q:Q)</f>
        <v>117</v>
      </c>
      <c r="M1" s="20"/>
      <c r="N1" s="22" t="s">
        <v>69</v>
      </c>
      <c r="O1" s="21"/>
      <c r="P1" s="23">
        <f>SUM(R:R)+5</f>
        <v>131</v>
      </c>
      <c r="Q1" s="20"/>
      <c r="R1" s="2"/>
      <c r="S1" s="33" t="s">
        <v>265</v>
      </c>
      <c r="T1" s="33">
        <f>+COUNTIF($S$5:$S$32,S1)</f>
        <v>6</v>
      </c>
    </row>
    <row r="2" spans="1:20" ht="42" customHeight="1" x14ac:dyDescent="0.25">
      <c r="B2" s="34" t="s">
        <v>275</v>
      </c>
      <c r="C2" s="14"/>
      <c r="E2" s="25">
        <v>5</v>
      </c>
      <c r="F2" s="25">
        <v>6</v>
      </c>
      <c r="G2" s="25">
        <v>7</v>
      </c>
      <c r="H2" s="25">
        <v>8</v>
      </c>
      <c r="I2" s="25">
        <v>9</v>
      </c>
      <c r="J2" s="25">
        <v>10</v>
      </c>
      <c r="K2" s="25">
        <v>11</v>
      </c>
      <c r="L2" s="25">
        <v>12</v>
      </c>
      <c r="M2" s="25">
        <v>13</v>
      </c>
      <c r="N2" s="25">
        <v>14</v>
      </c>
      <c r="S2" s="33" t="s">
        <v>266</v>
      </c>
      <c r="T2" s="33">
        <f t="shared" ref="T2:T3" si="0">+COUNTIF($S$5:$S$32,S2)</f>
        <v>11</v>
      </c>
    </row>
    <row r="3" spans="1:20" ht="66" x14ac:dyDescent="0.25">
      <c r="A3" s="13" t="s">
        <v>57</v>
      </c>
      <c r="B3" s="13" t="s">
        <v>270</v>
      </c>
      <c r="C3" s="13" t="s">
        <v>54</v>
      </c>
      <c r="D3" s="13" t="s">
        <v>33</v>
      </c>
      <c r="E3" s="30" t="s">
        <v>38</v>
      </c>
      <c r="F3" s="31"/>
      <c r="G3" s="31"/>
      <c r="H3" s="31"/>
      <c r="I3" s="31"/>
      <c r="J3" s="31"/>
      <c r="K3" s="31"/>
      <c r="L3" s="31"/>
      <c r="M3" s="31"/>
      <c r="N3" s="32"/>
      <c r="O3" s="13" t="s">
        <v>59</v>
      </c>
      <c r="P3" s="13" t="s">
        <v>36</v>
      </c>
      <c r="Q3" s="13" t="s">
        <v>45</v>
      </c>
      <c r="R3" s="13" t="s">
        <v>68</v>
      </c>
      <c r="S3" s="33" t="s">
        <v>267</v>
      </c>
      <c r="T3" s="33">
        <f t="shared" si="0"/>
        <v>8</v>
      </c>
    </row>
    <row r="4" spans="1:20" ht="16.5" x14ac:dyDescent="0.25">
      <c r="A4" s="10"/>
      <c r="B4" s="18" t="s">
        <v>64</v>
      </c>
      <c r="C4" s="10"/>
      <c r="D4" s="10"/>
      <c r="E4" s="10" t="s">
        <v>39</v>
      </c>
      <c r="F4" s="10" t="s">
        <v>40</v>
      </c>
      <c r="G4" s="10">
        <v>3</v>
      </c>
      <c r="H4" s="10">
        <v>4</v>
      </c>
      <c r="I4" s="10">
        <v>5</v>
      </c>
      <c r="J4" s="10">
        <v>6</v>
      </c>
      <c r="K4" s="10">
        <v>7</v>
      </c>
      <c r="L4" s="10">
        <v>8</v>
      </c>
      <c r="M4" s="10">
        <v>9</v>
      </c>
      <c r="N4" s="10">
        <v>10</v>
      </c>
      <c r="O4" s="10"/>
      <c r="P4" s="10"/>
      <c r="Q4" s="10"/>
      <c r="R4" s="10"/>
    </row>
    <row r="5" spans="1:20" ht="33.75" customHeight="1" x14ac:dyDescent="0.25">
      <c r="A5" s="15">
        <f>+IF(LEN(D5)&gt;5,1,"-")</f>
        <v>1</v>
      </c>
      <c r="B5" s="17">
        <v>15</v>
      </c>
      <c r="C5" s="15" t="s">
        <v>70</v>
      </c>
      <c r="D5" s="6" t="str">
        <f>IFERROR(VLOOKUP(B5,'QB Reserve'!A:C,3,0),"-")</f>
        <v>Where do plants get Carbon Dioxide from?</v>
      </c>
      <c r="E5" s="26" t="str">
        <f>IFERROR(VLOOKUP($B5,'QB Reserve'!$A:$N,E$2,0),"-")</f>
        <v>Air</v>
      </c>
      <c r="F5" s="26" t="str">
        <f>IFERROR(VLOOKUP($B5,'QB Reserve'!$A:$N,F$2,0),"-")</f>
        <v>Soil</v>
      </c>
      <c r="G5" s="26" t="str">
        <f>IFERROR(VLOOKUP($B5,'QB Reserve'!$A:$N,G$2,0),"-")</f>
        <v>Water</v>
      </c>
      <c r="H5" s="26">
        <f>IFERROR(VLOOKUP($B5,'QB Reserve'!$A:$N,H$2,0),"-")</f>
        <v>0</v>
      </c>
      <c r="I5" s="26">
        <f>IFERROR(VLOOKUP($B5,'QB Reserve'!$A:$N,I$2,0),"-")</f>
        <v>0</v>
      </c>
      <c r="J5" s="26">
        <f>IFERROR(VLOOKUP($B5,'QB Reserve'!$A:$N,J$2,0),"-")</f>
        <v>0</v>
      </c>
      <c r="K5" s="26">
        <f>IFERROR(VLOOKUP($B5,'QB Reserve'!$A:$N,K$2,0),"-")</f>
        <v>0</v>
      </c>
      <c r="L5" s="26">
        <f>IFERROR(VLOOKUP($B5,'QB Reserve'!$A:$N,L$2,0),"-")</f>
        <v>0</v>
      </c>
      <c r="M5" s="26">
        <f>IFERROR(VLOOKUP($B5,'QB Reserve'!$A:$N,M$2,0),"-")</f>
        <v>0</v>
      </c>
      <c r="N5" s="26">
        <f>IFERROR(VLOOKUP($B5,'QB Reserve'!$A:$N,N$2,0),"-")</f>
        <v>0</v>
      </c>
      <c r="O5" s="15"/>
      <c r="P5" s="24">
        <f>IFERROR(VLOOKUP(B5,'QB Reserve'!A:P,16,0),"-")</f>
        <v>0</v>
      </c>
      <c r="Q5" s="15">
        <f>IFERROR(VLOOKUP(B5,'QB Reserve'!A:Q,17,0),"-")</f>
        <v>3</v>
      </c>
      <c r="R5" s="16">
        <f>IFERROR(VLOOKUP(B5,'QB Reserve'!A:T,20,0),"-")</f>
        <v>3</v>
      </c>
      <c r="S5" t="str">
        <f>+VLOOKUP(B5,'QB Reserve'!A:W,23,0)</f>
        <v>User 1</v>
      </c>
    </row>
    <row r="6" spans="1:20" ht="33.75" customHeight="1" x14ac:dyDescent="0.25">
      <c r="A6" s="15">
        <f>+IF(LEN(D6)&gt;5,A5+1,"-")</f>
        <v>2</v>
      </c>
      <c r="B6" s="17">
        <v>16</v>
      </c>
      <c r="C6" s="15" t="str">
        <f>IFERROR(VLOOKUP(B6,'QB Reserve'!A:B,2,0),"-")</f>
        <v>Science - Animals</v>
      </c>
      <c r="D6" s="6" t="str">
        <f>IFERROR(VLOOKUP(B6,'QB Reserve'!A:C,3,0),"-")</f>
        <v>Which of the following is a wild animal?</v>
      </c>
      <c r="E6" s="26" t="str">
        <f>IFERROR(VLOOKUP($B6,'QB Reserve'!$A:$N,E$2,0),"-")</f>
        <v>Rabbit</v>
      </c>
      <c r="F6" s="26" t="str">
        <f>IFERROR(VLOOKUP($B6,'QB Reserve'!$A:$N,F$2,0),"-")</f>
        <v>Horse</v>
      </c>
      <c r="G6" s="26" t="str">
        <f>IFERROR(VLOOKUP($B6,'QB Reserve'!$A:$N,G$2,0),"-")</f>
        <v>Lion</v>
      </c>
      <c r="H6" s="26" t="str">
        <f>IFERROR(VLOOKUP($B6,'QB Reserve'!$A:$N,H$2,0),"-")</f>
        <v>Cow</v>
      </c>
      <c r="I6" s="26">
        <f>IFERROR(VLOOKUP($B6,'QB Reserve'!$A:$N,I$2,0),"-")</f>
        <v>0</v>
      </c>
      <c r="J6" s="26">
        <f>IFERROR(VLOOKUP($B6,'QB Reserve'!$A:$N,J$2,0),"-")</f>
        <v>0</v>
      </c>
      <c r="K6" s="26">
        <f>IFERROR(VLOOKUP($B6,'QB Reserve'!$A:$N,K$2,0),"-")</f>
        <v>0</v>
      </c>
      <c r="L6" s="26">
        <f>IFERROR(VLOOKUP($B6,'QB Reserve'!$A:$N,L$2,0),"-")</f>
        <v>0</v>
      </c>
      <c r="M6" s="26">
        <f>IFERROR(VLOOKUP($B6,'QB Reserve'!$A:$N,M$2,0),"-")</f>
        <v>0</v>
      </c>
      <c r="N6" s="26">
        <f>IFERROR(VLOOKUP($B6,'QB Reserve'!$A:$N,N$2,0),"-")</f>
        <v>0</v>
      </c>
      <c r="O6" s="15"/>
      <c r="P6" s="24">
        <f>IFERROR(VLOOKUP(B6,'QB Reserve'!A:P,16,0),"-")</f>
        <v>0</v>
      </c>
      <c r="Q6" s="15">
        <f>IFERROR(VLOOKUP(B6,'QB Reserve'!A:Q,17,0),"-")</f>
        <v>5</v>
      </c>
      <c r="R6" s="16">
        <f>IFERROR(VLOOKUP(B6,'QB Reserve'!A:T,20,0),"-")</f>
        <v>6</v>
      </c>
      <c r="S6" t="str">
        <f>+VLOOKUP(B6,'QB Reserve'!A:W,23,0)</f>
        <v>User 3</v>
      </c>
    </row>
    <row r="7" spans="1:20" ht="33.75" customHeight="1" x14ac:dyDescent="0.25">
      <c r="A7" s="15">
        <f t="shared" ref="A7:A29" si="1">+IF(LEN(D7)&gt;5,A6+1,"-")</f>
        <v>3</v>
      </c>
      <c r="B7" s="17">
        <v>17</v>
      </c>
      <c r="C7" s="15" t="str">
        <f>IFERROR(VLOOKUP(B7,'QB Reserve'!A:B,2,0),"-")</f>
        <v>Science - Animals</v>
      </c>
      <c r="D7" s="6" t="str">
        <f>IFERROR(VLOOKUP(B7,'QB Reserve'!A:C,3,0),"-")</f>
        <v>Which of the following is a domestic animal?</v>
      </c>
      <c r="E7" s="26" t="str">
        <f>IFERROR(VLOOKUP($B7,'QB Reserve'!$A:$N,E$2,0),"-")</f>
        <v>Lion</v>
      </c>
      <c r="F7" s="26" t="str">
        <f>IFERROR(VLOOKUP($B7,'QB Reserve'!$A:$N,F$2,0),"-")</f>
        <v>Wolf</v>
      </c>
      <c r="G7" s="26" t="str">
        <f>IFERROR(VLOOKUP($B7,'QB Reserve'!$A:$N,G$2,0),"-")</f>
        <v>Tiger</v>
      </c>
      <c r="H7" s="26" t="str">
        <f>IFERROR(VLOOKUP($B7,'QB Reserve'!$A:$N,H$2,0),"-")</f>
        <v>Cow</v>
      </c>
      <c r="I7" s="26">
        <f>IFERROR(VLOOKUP($B7,'QB Reserve'!$A:$N,I$2,0),"-")</f>
        <v>0</v>
      </c>
      <c r="J7" s="26">
        <f>IFERROR(VLOOKUP($B7,'QB Reserve'!$A:$N,J$2,0),"-")</f>
        <v>0</v>
      </c>
      <c r="K7" s="26">
        <f>IFERROR(VLOOKUP($B7,'QB Reserve'!$A:$N,K$2,0),"-")</f>
        <v>0</v>
      </c>
      <c r="L7" s="26">
        <f>IFERROR(VLOOKUP($B7,'QB Reserve'!$A:$N,L$2,0),"-")</f>
        <v>0</v>
      </c>
      <c r="M7" s="26">
        <f>IFERROR(VLOOKUP($B7,'QB Reserve'!$A:$N,M$2,0),"-")</f>
        <v>0</v>
      </c>
      <c r="N7" s="26">
        <f>IFERROR(VLOOKUP($B7,'QB Reserve'!$A:$N,N$2,0),"-")</f>
        <v>0</v>
      </c>
      <c r="O7" s="15"/>
      <c r="P7" s="24">
        <f>IFERROR(VLOOKUP(B7,'QB Reserve'!A:P,16,0),"-")</f>
        <v>0</v>
      </c>
      <c r="Q7" s="15">
        <f>IFERROR(VLOOKUP(B7,'QB Reserve'!A:Q,17,0),"-")</f>
        <v>1</v>
      </c>
      <c r="R7" s="16">
        <f>IFERROR(VLOOKUP(B7,'QB Reserve'!A:T,20,0),"-")</f>
        <v>5</v>
      </c>
      <c r="S7" t="str">
        <f>+VLOOKUP(B7,'QB Reserve'!A:W,23,0)</f>
        <v>User 2</v>
      </c>
    </row>
    <row r="8" spans="1:20" ht="33.75" customHeight="1" x14ac:dyDescent="0.25">
      <c r="A8" s="15">
        <f t="shared" si="1"/>
        <v>4</v>
      </c>
      <c r="B8" s="17">
        <v>18</v>
      </c>
      <c r="C8" s="15" t="str">
        <f>IFERROR(VLOOKUP(B8,'QB Reserve'!A:B,2,0),"-")</f>
        <v>Science - Food</v>
      </c>
      <c r="D8" s="6" t="str">
        <f>IFERROR(VLOOKUP(B8,'QB Reserve'!A:C,3,0),"-")</f>
        <v>Which of these is not a type of bell pepper?</v>
      </c>
      <c r="E8" s="26" t="str">
        <f>IFERROR(VLOOKUP($B8,'QB Reserve'!$A:$N,E$2,0),"-")</f>
        <v>Yellow</v>
      </c>
      <c r="F8" s="26" t="str">
        <f>IFERROR(VLOOKUP($B8,'QB Reserve'!$A:$N,F$2,0),"-")</f>
        <v>Red</v>
      </c>
      <c r="G8" s="26" t="str">
        <f>IFERROR(VLOOKUP($B8,'QB Reserve'!$A:$N,G$2,0),"-")</f>
        <v>Purple</v>
      </c>
      <c r="H8" s="26" t="str">
        <f>IFERROR(VLOOKUP($B8,'QB Reserve'!$A:$N,H$2,0),"-")</f>
        <v>Green</v>
      </c>
      <c r="I8" s="26">
        <f>IFERROR(VLOOKUP($B8,'QB Reserve'!$A:$N,I$2,0),"-")</f>
        <v>0</v>
      </c>
      <c r="J8" s="26">
        <f>IFERROR(VLOOKUP($B8,'QB Reserve'!$A:$N,J$2,0),"-")</f>
        <v>0</v>
      </c>
      <c r="K8" s="26">
        <f>IFERROR(VLOOKUP($B8,'QB Reserve'!$A:$N,K$2,0),"-")</f>
        <v>0</v>
      </c>
      <c r="L8" s="26">
        <f>IFERROR(VLOOKUP($B8,'QB Reserve'!$A:$N,L$2,0),"-")</f>
        <v>0</v>
      </c>
      <c r="M8" s="26">
        <f>IFERROR(VLOOKUP($B8,'QB Reserve'!$A:$N,M$2,0),"-")</f>
        <v>0</v>
      </c>
      <c r="N8" s="26">
        <f>IFERROR(VLOOKUP($B8,'QB Reserve'!$A:$N,N$2,0),"-")</f>
        <v>0</v>
      </c>
      <c r="O8" s="15"/>
      <c r="P8" s="24">
        <f>IFERROR(VLOOKUP(B8,'QB Reserve'!A:P,16,0),"-")</f>
        <v>0</v>
      </c>
      <c r="Q8" s="15">
        <f>IFERROR(VLOOKUP(B8,'QB Reserve'!A:Q,17,0),"-")</f>
        <v>2</v>
      </c>
      <c r="R8" s="16">
        <f>IFERROR(VLOOKUP(B8,'QB Reserve'!A:T,20,0),"-")</f>
        <v>7</v>
      </c>
      <c r="S8" t="str">
        <f>+VLOOKUP(B8,'QB Reserve'!A:W,23,0)</f>
        <v>User 3</v>
      </c>
    </row>
    <row r="9" spans="1:20" ht="33.75" customHeight="1" x14ac:dyDescent="0.25">
      <c r="A9" s="15">
        <f t="shared" si="1"/>
        <v>5</v>
      </c>
      <c r="B9" s="17">
        <v>22</v>
      </c>
      <c r="C9" s="15" t="str">
        <f>IFERROR(VLOOKUP(B9,'QB Reserve'!A:B,2,0),"-")</f>
        <v>Science - Our Universe</v>
      </c>
      <c r="D9" s="6" t="str">
        <f>IFERROR(VLOOKUP(B9,'QB Reserve'!A:C,3,0),"-")</f>
        <v>Which galaxy are we in?</v>
      </c>
      <c r="E9" s="26" t="str">
        <f>IFERROR(VLOOKUP($B9,'QB Reserve'!$A:$N,E$2,0),"-")</f>
        <v>Canis Major Dwarf</v>
      </c>
      <c r="F9" s="26" t="str">
        <f>IFERROR(VLOOKUP($B9,'QB Reserve'!$A:$N,F$2,0),"-")</f>
        <v>Milky Way</v>
      </c>
      <c r="G9" s="26" t="str">
        <f>IFERROR(VLOOKUP($B9,'QB Reserve'!$A:$N,G$2,0),"-")</f>
        <v>Draco 2</v>
      </c>
      <c r="H9" s="26" t="str">
        <f>IFERROR(VLOOKUP($B9,'QB Reserve'!$A:$N,H$2,0),"-")</f>
        <v>Andromeda</v>
      </c>
      <c r="I9" s="26">
        <f>IFERROR(VLOOKUP($B9,'QB Reserve'!$A:$N,I$2,0),"-")</f>
        <v>0</v>
      </c>
      <c r="J9" s="26">
        <f>IFERROR(VLOOKUP($B9,'QB Reserve'!$A:$N,J$2,0),"-")</f>
        <v>0</v>
      </c>
      <c r="K9" s="26">
        <f>IFERROR(VLOOKUP($B9,'QB Reserve'!$A:$N,K$2,0),"-")</f>
        <v>0</v>
      </c>
      <c r="L9" s="26">
        <f>IFERROR(VLOOKUP($B9,'QB Reserve'!$A:$N,L$2,0),"-")</f>
        <v>0</v>
      </c>
      <c r="M9" s="26">
        <f>IFERROR(VLOOKUP($B9,'QB Reserve'!$A:$N,M$2,0),"-")</f>
        <v>0</v>
      </c>
      <c r="N9" s="26">
        <f>IFERROR(VLOOKUP($B9,'QB Reserve'!$A:$N,N$2,0),"-")</f>
        <v>0</v>
      </c>
      <c r="O9" s="15"/>
      <c r="P9" s="24">
        <f>IFERROR(VLOOKUP(B9,'QB Reserve'!A:P,16,0),"-")</f>
        <v>0</v>
      </c>
      <c r="Q9" s="15">
        <f>IFERROR(VLOOKUP(B9,'QB Reserve'!A:Q,17,0),"-")</f>
        <v>9</v>
      </c>
      <c r="R9" s="16">
        <f>IFERROR(VLOOKUP(B9,'QB Reserve'!A:T,20,0),"-")</f>
        <v>5</v>
      </c>
      <c r="S9" t="str">
        <f>+VLOOKUP(B9,'QB Reserve'!A:W,23,0)</f>
        <v>User 3</v>
      </c>
    </row>
    <row r="10" spans="1:20" ht="33.75" customHeight="1" x14ac:dyDescent="0.25">
      <c r="A10" s="15">
        <f t="shared" si="1"/>
        <v>6</v>
      </c>
      <c r="B10" s="17">
        <v>31</v>
      </c>
      <c r="C10" s="15" t="str">
        <f>IFERROR(VLOOKUP(B10,'QB Reserve'!A:B,2,0),"-")</f>
        <v>GK - India</v>
      </c>
      <c r="D10" s="6" t="str">
        <f>IFERROR(VLOOKUP(B10,'QB Reserve'!A:C,3,0),"-")</f>
        <v>When is Independence Day celebrated in India?</v>
      </c>
      <c r="E10" s="26">
        <f>IFERROR(VLOOKUP($B10,'QB Reserve'!$A:$N,E$2,0),"-")</f>
        <v>45519</v>
      </c>
      <c r="F10" s="26">
        <f>IFERROR(VLOOKUP($B10,'QB Reserve'!$A:$N,F$2,0),"-")</f>
        <v>45317</v>
      </c>
      <c r="G10" s="26">
        <f>IFERROR(VLOOKUP($B10,'QB Reserve'!$A:$N,G$2,0),"-")</f>
        <v>45567</v>
      </c>
      <c r="H10" s="26">
        <f>IFERROR(VLOOKUP($B10,'QB Reserve'!$A:$N,H$2,0),"-")</f>
        <v>0</v>
      </c>
      <c r="I10" s="26">
        <f>IFERROR(VLOOKUP($B10,'QB Reserve'!$A:$N,I$2,0),"-")</f>
        <v>0</v>
      </c>
      <c r="J10" s="26">
        <f>IFERROR(VLOOKUP($B10,'QB Reserve'!$A:$N,J$2,0),"-")</f>
        <v>0</v>
      </c>
      <c r="K10" s="26">
        <f>IFERROR(VLOOKUP($B10,'QB Reserve'!$A:$N,K$2,0),"-")</f>
        <v>0</v>
      </c>
      <c r="L10" s="26">
        <f>IFERROR(VLOOKUP($B10,'QB Reserve'!$A:$N,L$2,0),"-")</f>
        <v>0</v>
      </c>
      <c r="M10" s="26">
        <f>IFERROR(VLOOKUP($B10,'QB Reserve'!$A:$N,M$2,0),"-")</f>
        <v>0</v>
      </c>
      <c r="N10" s="26">
        <f>IFERROR(VLOOKUP($B10,'QB Reserve'!$A:$N,N$2,0),"-")</f>
        <v>0</v>
      </c>
      <c r="O10" s="15"/>
      <c r="P10" s="24">
        <f>IFERROR(VLOOKUP(B10,'QB Reserve'!A:P,16,0),"-")</f>
        <v>0</v>
      </c>
      <c r="Q10" s="15">
        <f>IFERROR(VLOOKUP(B10,'QB Reserve'!A:Q,17,0),"-")</f>
        <v>5</v>
      </c>
      <c r="R10" s="16">
        <f>IFERROR(VLOOKUP(B10,'QB Reserve'!A:T,20,0),"-")</f>
        <v>5</v>
      </c>
      <c r="S10" t="str">
        <f>+VLOOKUP(B10,'QB Reserve'!A:W,23,0)</f>
        <v>User 2</v>
      </c>
    </row>
    <row r="11" spans="1:20" ht="33.75" customHeight="1" x14ac:dyDescent="0.25">
      <c r="A11" s="15">
        <f t="shared" si="1"/>
        <v>7</v>
      </c>
      <c r="B11" s="17">
        <v>32</v>
      </c>
      <c r="C11" s="15" t="str">
        <f>IFERROR(VLOOKUP(B11,'QB Reserve'!A:B,2,0),"-")</f>
        <v>GK - India</v>
      </c>
      <c r="D11" s="6" t="str">
        <f>IFERROR(VLOOKUP(B11,'QB Reserve'!A:C,3,0),"-")</f>
        <v>What colour is not in the Indian flag?</v>
      </c>
      <c r="E11" s="26" t="str">
        <f>IFERROR(VLOOKUP($B11,'QB Reserve'!$A:$N,E$2,0),"-")</f>
        <v>White</v>
      </c>
      <c r="F11" s="26" t="str">
        <f>IFERROR(VLOOKUP($B11,'QB Reserve'!$A:$N,F$2,0),"-")</f>
        <v>Saffron</v>
      </c>
      <c r="G11" s="26" t="str">
        <f>IFERROR(VLOOKUP($B11,'QB Reserve'!$A:$N,G$2,0),"-")</f>
        <v>Black</v>
      </c>
      <c r="H11" s="26" t="str">
        <f>IFERROR(VLOOKUP($B11,'QB Reserve'!$A:$N,H$2,0),"-")</f>
        <v>Green</v>
      </c>
      <c r="I11" s="26" t="str">
        <f>IFERROR(VLOOKUP($B11,'QB Reserve'!$A:$N,I$2,0),"-")</f>
        <v>Blue</v>
      </c>
      <c r="J11" s="26">
        <f>IFERROR(VLOOKUP($B11,'QB Reserve'!$A:$N,J$2,0),"-")</f>
        <v>0</v>
      </c>
      <c r="K11" s="26">
        <f>IFERROR(VLOOKUP($B11,'QB Reserve'!$A:$N,K$2,0),"-")</f>
        <v>0</v>
      </c>
      <c r="L11" s="26">
        <f>IFERROR(VLOOKUP($B11,'QB Reserve'!$A:$N,L$2,0),"-")</f>
        <v>0</v>
      </c>
      <c r="M11" s="26">
        <f>IFERROR(VLOOKUP($B11,'QB Reserve'!$A:$N,M$2,0),"-")</f>
        <v>0</v>
      </c>
      <c r="N11" s="26">
        <f>IFERROR(VLOOKUP($B11,'QB Reserve'!$A:$N,N$2,0),"-")</f>
        <v>0</v>
      </c>
      <c r="O11" s="15"/>
      <c r="P11" s="24">
        <f>IFERROR(VLOOKUP(B11,'QB Reserve'!A:P,16,0),"-")</f>
        <v>0</v>
      </c>
      <c r="Q11" s="15">
        <f>IFERROR(VLOOKUP(B11,'QB Reserve'!A:Q,17,0),"-")</f>
        <v>3</v>
      </c>
      <c r="R11" s="16">
        <f>IFERROR(VLOOKUP(B11,'QB Reserve'!A:T,20,0),"-")</f>
        <v>6</v>
      </c>
      <c r="S11" t="str">
        <f>+VLOOKUP(B11,'QB Reserve'!A:W,23,0)</f>
        <v>User 2</v>
      </c>
    </row>
    <row r="12" spans="1:20" ht="33.75" customHeight="1" x14ac:dyDescent="0.25">
      <c r="A12" s="15">
        <f t="shared" si="1"/>
        <v>8</v>
      </c>
      <c r="B12" s="17">
        <v>33</v>
      </c>
      <c r="C12" s="15" t="str">
        <f>IFERROR(VLOOKUP(B12,'QB Reserve'!A:B,2,0),"-")</f>
        <v>GK - Asia</v>
      </c>
      <c r="D12" s="6" t="str">
        <f>IFERROR(VLOOKUP(B12,'QB Reserve'!A:C,3,0),"-")</f>
        <v>Which is the largest country in Asia?</v>
      </c>
      <c r="E12" s="26" t="str">
        <f>IFERROR(VLOOKUP($B12,'QB Reserve'!$A:$N,E$2,0),"-")</f>
        <v>India</v>
      </c>
      <c r="F12" s="26" t="str">
        <f>IFERROR(VLOOKUP($B12,'QB Reserve'!$A:$N,F$2,0),"-")</f>
        <v>China</v>
      </c>
      <c r="G12" s="26" t="str">
        <f>IFERROR(VLOOKUP($B12,'QB Reserve'!$A:$N,G$2,0),"-")</f>
        <v>Pakistan</v>
      </c>
      <c r="H12" s="26">
        <f>IFERROR(VLOOKUP($B12,'QB Reserve'!$A:$N,H$2,0),"-")</f>
        <v>0</v>
      </c>
      <c r="I12" s="26">
        <f>IFERROR(VLOOKUP($B12,'QB Reserve'!$A:$N,I$2,0),"-")</f>
        <v>0</v>
      </c>
      <c r="J12" s="26">
        <f>IFERROR(VLOOKUP($B12,'QB Reserve'!$A:$N,J$2,0),"-")</f>
        <v>0</v>
      </c>
      <c r="K12" s="26">
        <f>IFERROR(VLOOKUP($B12,'QB Reserve'!$A:$N,K$2,0),"-")</f>
        <v>0</v>
      </c>
      <c r="L12" s="26">
        <f>IFERROR(VLOOKUP($B12,'QB Reserve'!$A:$N,L$2,0),"-")</f>
        <v>0</v>
      </c>
      <c r="M12" s="26">
        <f>IFERROR(VLOOKUP($B12,'QB Reserve'!$A:$N,M$2,0),"-")</f>
        <v>0</v>
      </c>
      <c r="N12" s="26">
        <f>IFERROR(VLOOKUP($B12,'QB Reserve'!$A:$N,N$2,0),"-")</f>
        <v>0</v>
      </c>
      <c r="O12" s="15"/>
      <c r="P12" s="24">
        <f>IFERROR(VLOOKUP(B12,'QB Reserve'!A:P,16,0),"-")</f>
        <v>0</v>
      </c>
      <c r="Q12" s="15">
        <f>IFERROR(VLOOKUP(B12,'QB Reserve'!A:Q,17,0),"-")</f>
        <v>6</v>
      </c>
      <c r="R12" s="16">
        <f>IFERROR(VLOOKUP(B12,'QB Reserve'!A:T,20,0),"-")</f>
        <v>4</v>
      </c>
      <c r="S12" t="str">
        <f>+VLOOKUP(B12,'QB Reserve'!A:W,23,0)</f>
        <v>User 1</v>
      </c>
    </row>
    <row r="13" spans="1:20" ht="33.75" customHeight="1" x14ac:dyDescent="0.25">
      <c r="A13" s="15">
        <f t="shared" si="1"/>
        <v>9</v>
      </c>
      <c r="B13" s="17">
        <v>34</v>
      </c>
      <c r="C13" s="15" t="str">
        <f>IFERROR(VLOOKUP(B13,'QB Reserve'!A:B,2,0),"-")</f>
        <v>GK - Asia</v>
      </c>
      <c r="D13" s="6" t="str">
        <f>IFERROR(VLOOKUP(B13,'QB Reserve'!A:C,3,0),"-")</f>
        <v>Which of these countries does not border India?</v>
      </c>
      <c r="E13" s="26" t="str">
        <f>IFERROR(VLOOKUP($B13,'QB Reserve'!$A:$N,E$2,0),"-")</f>
        <v>Pakistan</v>
      </c>
      <c r="F13" s="26" t="str">
        <f>IFERROR(VLOOKUP($B13,'QB Reserve'!$A:$N,F$2,0),"-")</f>
        <v>China</v>
      </c>
      <c r="G13" s="26" t="str">
        <f>IFERROR(VLOOKUP($B13,'QB Reserve'!$A:$N,G$2,0),"-")</f>
        <v>Nepal</v>
      </c>
      <c r="H13" s="26" t="str">
        <f>IFERROR(VLOOKUP($B13,'QB Reserve'!$A:$N,H$2,0),"-")</f>
        <v>Russia</v>
      </c>
      <c r="I13" s="26">
        <f>IFERROR(VLOOKUP($B13,'QB Reserve'!$A:$N,I$2,0),"-")</f>
        <v>0</v>
      </c>
      <c r="J13" s="26">
        <f>IFERROR(VLOOKUP($B13,'QB Reserve'!$A:$N,J$2,0),"-")</f>
        <v>0</v>
      </c>
      <c r="K13" s="26">
        <f>IFERROR(VLOOKUP($B13,'QB Reserve'!$A:$N,K$2,0),"-")</f>
        <v>0</v>
      </c>
      <c r="L13" s="26">
        <f>IFERROR(VLOOKUP($B13,'QB Reserve'!$A:$N,L$2,0),"-")</f>
        <v>0</v>
      </c>
      <c r="M13" s="26">
        <f>IFERROR(VLOOKUP($B13,'QB Reserve'!$A:$N,M$2,0),"-")</f>
        <v>0</v>
      </c>
      <c r="N13" s="26">
        <f>IFERROR(VLOOKUP($B13,'QB Reserve'!$A:$N,N$2,0),"-")</f>
        <v>0</v>
      </c>
      <c r="O13" s="15"/>
      <c r="P13" s="24">
        <f>IFERROR(VLOOKUP(B13,'QB Reserve'!A:P,16,0),"-")</f>
        <v>0</v>
      </c>
      <c r="Q13" s="15">
        <f>IFERROR(VLOOKUP(B13,'QB Reserve'!A:Q,17,0),"-")</f>
        <v>4</v>
      </c>
      <c r="R13" s="16">
        <f>IFERROR(VLOOKUP(B13,'QB Reserve'!A:T,20,0),"-")</f>
        <v>8</v>
      </c>
      <c r="S13" t="str">
        <f>+VLOOKUP(B13,'QB Reserve'!A:W,23,0)</f>
        <v>User 3</v>
      </c>
    </row>
    <row r="14" spans="1:20" ht="33.75" customHeight="1" x14ac:dyDescent="0.25">
      <c r="A14" s="15">
        <f t="shared" si="1"/>
        <v>10</v>
      </c>
      <c r="B14" s="17">
        <v>35</v>
      </c>
      <c r="C14" s="15" t="str">
        <f>IFERROR(VLOOKUP(B14,'QB Reserve'!A:B,2,0),"-")</f>
        <v>GK - Inventions</v>
      </c>
      <c r="D14" s="6" t="str">
        <f>IFERROR(VLOOKUP(B14,'QB Reserve'!A:C,3,0),"-")</f>
        <v>Who invented the Steam Engine?</v>
      </c>
      <c r="E14" s="26" t="str">
        <f>IFERROR(VLOOKUP($B14,'QB Reserve'!$A:$N,E$2,0),"-")</f>
        <v>Thomas Alva Edison</v>
      </c>
      <c r="F14" s="26" t="str">
        <f>IFERROR(VLOOKUP($B14,'QB Reserve'!$A:$N,F$2,0),"-")</f>
        <v>James Watt</v>
      </c>
      <c r="G14" s="26" t="str">
        <f>IFERROR(VLOOKUP($B14,'QB Reserve'!$A:$N,G$2,0),"-")</f>
        <v>Albert Einstein</v>
      </c>
      <c r="H14" s="26">
        <f>IFERROR(VLOOKUP($B14,'QB Reserve'!$A:$N,H$2,0),"-")</f>
        <v>0</v>
      </c>
      <c r="I14" s="26">
        <f>IFERROR(VLOOKUP($B14,'QB Reserve'!$A:$N,I$2,0),"-")</f>
        <v>0</v>
      </c>
      <c r="J14" s="26">
        <f>IFERROR(VLOOKUP($B14,'QB Reserve'!$A:$N,J$2,0),"-")</f>
        <v>0</v>
      </c>
      <c r="K14" s="26">
        <f>IFERROR(VLOOKUP($B14,'QB Reserve'!$A:$N,K$2,0),"-")</f>
        <v>0</v>
      </c>
      <c r="L14" s="26">
        <f>IFERROR(VLOOKUP($B14,'QB Reserve'!$A:$N,L$2,0),"-")</f>
        <v>0</v>
      </c>
      <c r="M14" s="26">
        <f>IFERROR(VLOOKUP($B14,'QB Reserve'!$A:$N,M$2,0),"-")</f>
        <v>0</v>
      </c>
      <c r="N14" s="26">
        <f>IFERROR(VLOOKUP($B14,'QB Reserve'!$A:$N,N$2,0),"-")</f>
        <v>0</v>
      </c>
      <c r="O14" s="15"/>
      <c r="P14" s="24">
        <f>IFERROR(VLOOKUP(B14,'QB Reserve'!A:P,16,0),"-")</f>
        <v>0</v>
      </c>
      <c r="Q14" s="15">
        <f>IFERROR(VLOOKUP(B14,'QB Reserve'!A:Q,17,0),"-")</f>
        <v>4</v>
      </c>
      <c r="R14" s="16">
        <f>IFERROR(VLOOKUP(B14,'QB Reserve'!A:T,20,0),"-")</f>
        <v>2</v>
      </c>
      <c r="S14" t="str">
        <f>+VLOOKUP(B14,'QB Reserve'!A:W,23,0)</f>
        <v>User 3</v>
      </c>
    </row>
    <row r="15" spans="1:20" ht="33.75" customHeight="1" x14ac:dyDescent="0.25">
      <c r="A15" s="15">
        <f t="shared" si="1"/>
        <v>11</v>
      </c>
      <c r="B15" s="17">
        <v>36</v>
      </c>
      <c r="C15" s="15" t="str">
        <f>IFERROR(VLOOKUP(B15,'QB Reserve'!A:B,2,0),"-")</f>
        <v>GK - Oceans, Seas, Rivers</v>
      </c>
      <c r="D15" s="6" t="str">
        <f>IFERROR(VLOOKUP(B15,'QB Reserve'!A:C,3,0),"-")</f>
        <v>Which is the longest river?</v>
      </c>
      <c r="E15" s="26" t="str">
        <f>IFERROR(VLOOKUP($B15,'QB Reserve'!$A:$N,E$2,0),"-")</f>
        <v>Brahmputra</v>
      </c>
      <c r="F15" s="26" t="str">
        <f>IFERROR(VLOOKUP($B15,'QB Reserve'!$A:$N,F$2,0),"-")</f>
        <v>Nile</v>
      </c>
      <c r="G15" s="26" t="str">
        <f>IFERROR(VLOOKUP($B15,'QB Reserve'!$A:$N,G$2,0),"-")</f>
        <v>Ganga</v>
      </c>
      <c r="H15" s="26" t="str">
        <f>IFERROR(VLOOKUP($B15,'QB Reserve'!$A:$N,H$2,0),"-")</f>
        <v>Yamuna</v>
      </c>
      <c r="I15" s="26">
        <f>IFERROR(VLOOKUP($B15,'QB Reserve'!$A:$N,I$2,0),"-")</f>
        <v>0</v>
      </c>
      <c r="J15" s="26">
        <f>IFERROR(VLOOKUP($B15,'QB Reserve'!$A:$N,J$2,0),"-")</f>
        <v>0</v>
      </c>
      <c r="K15" s="26">
        <f>IFERROR(VLOOKUP($B15,'QB Reserve'!$A:$N,K$2,0),"-")</f>
        <v>0</v>
      </c>
      <c r="L15" s="26">
        <f>IFERROR(VLOOKUP($B15,'QB Reserve'!$A:$N,L$2,0),"-")</f>
        <v>0</v>
      </c>
      <c r="M15" s="26">
        <f>IFERROR(VLOOKUP($B15,'QB Reserve'!$A:$N,M$2,0),"-")</f>
        <v>0</v>
      </c>
      <c r="N15" s="26">
        <f>IFERROR(VLOOKUP($B15,'QB Reserve'!$A:$N,N$2,0),"-")</f>
        <v>0</v>
      </c>
      <c r="O15" s="15"/>
      <c r="P15" s="24">
        <f>IFERROR(VLOOKUP(B15,'QB Reserve'!A:P,16,0),"-")</f>
        <v>0</v>
      </c>
      <c r="Q15" s="15">
        <f>IFERROR(VLOOKUP(B15,'QB Reserve'!A:Q,17,0),"-")</f>
        <v>5</v>
      </c>
      <c r="R15" s="16">
        <f>IFERROR(VLOOKUP(B15,'QB Reserve'!A:T,20,0),"-")</f>
        <v>6</v>
      </c>
      <c r="S15" t="str">
        <f>+VLOOKUP(B15,'QB Reserve'!A:W,23,0)</f>
        <v>User 2</v>
      </c>
    </row>
    <row r="16" spans="1:20" ht="33.75" customHeight="1" x14ac:dyDescent="0.25">
      <c r="A16" s="15">
        <f t="shared" si="1"/>
        <v>12</v>
      </c>
      <c r="B16" s="17">
        <v>37</v>
      </c>
      <c r="C16" s="15" t="str">
        <f>IFERROR(VLOOKUP(B16,'QB Reserve'!A:B,2,0),"-")</f>
        <v>GK - Oceans, Seas, Rivers</v>
      </c>
      <c r="D16" s="6" t="str">
        <f>IFERROR(VLOOKUP(B16,'QB Reserve'!A:C,3,0),"-")</f>
        <v>Which rivers originate from Himalayas?</v>
      </c>
      <c r="E16" s="26" t="str">
        <f>IFERROR(VLOOKUP($B16,'QB Reserve'!$A:$N,E$2,0),"-")</f>
        <v>Indus</v>
      </c>
      <c r="F16" s="26" t="str">
        <f>IFERROR(VLOOKUP($B16,'QB Reserve'!$A:$N,F$2,0),"-")</f>
        <v>Ganga</v>
      </c>
      <c r="G16" s="26" t="str">
        <f>IFERROR(VLOOKUP($B16,'QB Reserve'!$A:$N,G$2,0),"-")</f>
        <v>All of the Above</v>
      </c>
      <c r="H16" s="26">
        <f>IFERROR(VLOOKUP($B16,'QB Reserve'!$A:$N,H$2,0),"-")</f>
        <v>0</v>
      </c>
      <c r="I16" s="26">
        <f>IFERROR(VLOOKUP($B16,'QB Reserve'!$A:$N,I$2,0),"-")</f>
        <v>0</v>
      </c>
      <c r="J16" s="26">
        <f>IFERROR(VLOOKUP($B16,'QB Reserve'!$A:$N,J$2,0),"-")</f>
        <v>0</v>
      </c>
      <c r="K16" s="26">
        <f>IFERROR(VLOOKUP($B16,'QB Reserve'!$A:$N,K$2,0),"-")</f>
        <v>0</v>
      </c>
      <c r="L16" s="26">
        <f>IFERROR(VLOOKUP($B16,'QB Reserve'!$A:$N,L$2,0),"-")</f>
        <v>0</v>
      </c>
      <c r="M16" s="26">
        <f>IFERROR(VLOOKUP($B16,'QB Reserve'!$A:$N,M$2,0),"-")</f>
        <v>0</v>
      </c>
      <c r="N16" s="26">
        <f>IFERROR(VLOOKUP($B16,'QB Reserve'!$A:$N,N$2,0),"-")</f>
        <v>0</v>
      </c>
      <c r="O16" s="15"/>
      <c r="P16" s="24">
        <f>IFERROR(VLOOKUP(B16,'QB Reserve'!A:P,16,0),"-")</f>
        <v>0</v>
      </c>
      <c r="Q16" s="15">
        <f>IFERROR(VLOOKUP(B16,'QB Reserve'!A:Q,17,0),"-")</f>
        <v>6</v>
      </c>
      <c r="R16" s="16">
        <f>IFERROR(VLOOKUP(B16,'QB Reserve'!A:T,20,0),"-")</f>
        <v>9</v>
      </c>
      <c r="S16" t="str">
        <f>+VLOOKUP(B16,'QB Reserve'!A:W,23,0)</f>
        <v>User 3</v>
      </c>
    </row>
    <row r="17" spans="1:19" ht="33.75" customHeight="1" x14ac:dyDescent="0.25">
      <c r="A17" s="15">
        <f t="shared" si="1"/>
        <v>13</v>
      </c>
      <c r="B17" s="17">
        <v>38</v>
      </c>
      <c r="C17" s="15" t="str">
        <f>IFERROR(VLOOKUP(B17,'QB Reserve'!A:B,2,0),"-")</f>
        <v>Sports - Olympics</v>
      </c>
      <c r="D17" s="6" t="str">
        <f>IFERROR(VLOOKUP(B17,'QB Reserve'!A:C,3,0),"-")</f>
        <v>Which of the following is not an Olympic sport?</v>
      </c>
      <c r="E17" s="26" t="str">
        <f>IFERROR(VLOOKUP($B17,'QB Reserve'!$A:$N,E$2,0),"-")</f>
        <v>Skateboarding</v>
      </c>
      <c r="F17" s="26" t="str">
        <f>IFERROR(VLOOKUP($B17,'QB Reserve'!$A:$N,F$2,0),"-")</f>
        <v>High jumping</v>
      </c>
      <c r="G17" s="26" t="str">
        <f>IFERROR(VLOOKUP($B17,'QB Reserve'!$A:$N,G$2,0),"-")</f>
        <v>Swimming</v>
      </c>
      <c r="H17" s="26" t="str">
        <f>IFERROR(VLOOKUP($B17,'QB Reserve'!$A:$N,H$2,0),"-")</f>
        <v>Wrestling</v>
      </c>
      <c r="I17" s="26">
        <f>IFERROR(VLOOKUP($B17,'QB Reserve'!$A:$N,I$2,0),"-")</f>
        <v>0</v>
      </c>
      <c r="J17" s="26">
        <f>IFERROR(VLOOKUP($B17,'QB Reserve'!$A:$N,J$2,0),"-")</f>
        <v>0</v>
      </c>
      <c r="K17" s="26">
        <f>IFERROR(VLOOKUP($B17,'QB Reserve'!$A:$N,K$2,0),"-")</f>
        <v>0</v>
      </c>
      <c r="L17" s="26">
        <f>IFERROR(VLOOKUP($B17,'QB Reserve'!$A:$N,L$2,0),"-")</f>
        <v>0</v>
      </c>
      <c r="M17" s="26">
        <f>IFERROR(VLOOKUP($B17,'QB Reserve'!$A:$N,M$2,0),"-")</f>
        <v>0</v>
      </c>
      <c r="N17" s="26">
        <f>IFERROR(VLOOKUP($B17,'QB Reserve'!$A:$N,N$2,0),"-")</f>
        <v>0</v>
      </c>
      <c r="O17" s="15"/>
      <c r="P17" s="24">
        <f>IFERROR(VLOOKUP(B17,'QB Reserve'!A:P,16,0),"-")</f>
        <v>0</v>
      </c>
      <c r="Q17" s="15">
        <f>IFERROR(VLOOKUP(B17,'QB Reserve'!A:Q,17,0),"-")</f>
        <v>5</v>
      </c>
      <c r="R17" s="16">
        <f>IFERROR(VLOOKUP(B17,'QB Reserve'!A:T,20,0),"-")</f>
        <v>5</v>
      </c>
      <c r="S17" t="str">
        <f>+VLOOKUP(B17,'QB Reserve'!A:W,23,0)</f>
        <v>User 3</v>
      </c>
    </row>
    <row r="18" spans="1:19" ht="33.75" customHeight="1" x14ac:dyDescent="0.25">
      <c r="A18" s="15">
        <f t="shared" si="1"/>
        <v>14</v>
      </c>
      <c r="B18" s="17">
        <v>39</v>
      </c>
      <c r="C18" s="15" t="str">
        <f>IFERROR(VLOOKUP(B18,'QB Reserve'!A:B,2,0),"-")</f>
        <v>Sports - Olympics</v>
      </c>
      <c r="D18" s="6" t="str">
        <f>IFERROR(VLOOKUP(B18,'QB Reserve'!A:C,3,0),"-")</f>
        <v>Who is the first female U.S. gymnast to win four gold medals at a single Games?</v>
      </c>
      <c r="E18" s="26" t="str">
        <f>IFERROR(VLOOKUP($B18,'QB Reserve'!$A:$N,E$2,0),"-")</f>
        <v>Shawn Johnson</v>
      </c>
      <c r="F18" s="26" t="str">
        <f>IFERROR(VLOOKUP($B18,'QB Reserve'!$A:$N,F$2,0),"-")</f>
        <v>Gabby Douglas</v>
      </c>
      <c r="G18" s="26" t="str">
        <f>IFERROR(VLOOKUP($B18,'QB Reserve'!$A:$N,G$2,0),"-")</f>
        <v>Simone Biles</v>
      </c>
      <c r="H18" s="26">
        <f>IFERROR(VLOOKUP($B18,'QB Reserve'!$A:$N,H$2,0),"-")</f>
        <v>0</v>
      </c>
      <c r="I18" s="26">
        <f>IFERROR(VLOOKUP($B18,'QB Reserve'!$A:$N,I$2,0),"-")</f>
        <v>0</v>
      </c>
      <c r="J18" s="26">
        <f>IFERROR(VLOOKUP($B18,'QB Reserve'!$A:$N,J$2,0),"-")</f>
        <v>0</v>
      </c>
      <c r="K18" s="26">
        <f>IFERROR(VLOOKUP($B18,'QB Reserve'!$A:$N,K$2,0),"-")</f>
        <v>0</v>
      </c>
      <c r="L18" s="26">
        <f>IFERROR(VLOOKUP($B18,'QB Reserve'!$A:$N,L$2,0),"-")</f>
        <v>0</v>
      </c>
      <c r="M18" s="26">
        <f>IFERROR(VLOOKUP($B18,'QB Reserve'!$A:$N,M$2,0),"-")</f>
        <v>0</v>
      </c>
      <c r="N18" s="26">
        <f>IFERROR(VLOOKUP($B18,'QB Reserve'!$A:$N,N$2,0),"-")</f>
        <v>0</v>
      </c>
      <c r="O18" s="15"/>
      <c r="P18" s="24">
        <f>IFERROR(VLOOKUP(B18,'QB Reserve'!A:P,16,0),"-")</f>
        <v>0</v>
      </c>
      <c r="Q18" s="15">
        <f>IFERROR(VLOOKUP(B18,'QB Reserve'!A:Q,17,0),"-")</f>
        <v>4</v>
      </c>
      <c r="R18" s="16">
        <f>IFERROR(VLOOKUP(B18,'QB Reserve'!A:T,20,0),"-")</f>
        <v>7</v>
      </c>
      <c r="S18" t="str">
        <f>+VLOOKUP(B18,'QB Reserve'!A:W,23,0)</f>
        <v>User 1</v>
      </c>
    </row>
    <row r="19" spans="1:19" ht="33.75" customHeight="1" x14ac:dyDescent="0.25">
      <c r="A19" s="15">
        <f t="shared" si="1"/>
        <v>15</v>
      </c>
      <c r="B19" s="17">
        <v>40</v>
      </c>
      <c r="C19" s="15" t="str">
        <f>IFERROR(VLOOKUP(B19,'QB Reserve'!A:B,2,0),"-")</f>
        <v>Sports - National Games</v>
      </c>
      <c r="D19" s="6" t="str">
        <f>IFERROR(VLOOKUP(B19,'QB Reserve'!A:C,3,0),"-")</f>
        <v>In which year, the first National Games of India was held?</v>
      </c>
      <c r="E19" s="26">
        <f>IFERROR(VLOOKUP($B19,'QB Reserve'!$A:$N,E$2,0),"-")</f>
        <v>1924</v>
      </c>
      <c r="F19" s="26">
        <f>IFERROR(VLOOKUP($B19,'QB Reserve'!$A:$N,F$2,0),"-")</f>
        <v>1922</v>
      </c>
      <c r="G19" s="26">
        <f>IFERROR(VLOOKUP($B19,'QB Reserve'!$A:$N,G$2,0),"-")</f>
        <v>1926</v>
      </c>
      <c r="H19" s="26">
        <f>IFERROR(VLOOKUP($B19,'QB Reserve'!$A:$N,H$2,0),"-")</f>
        <v>1930</v>
      </c>
      <c r="I19" s="26">
        <f>IFERROR(VLOOKUP($B19,'QB Reserve'!$A:$N,I$2,0),"-")</f>
        <v>0</v>
      </c>
      <c r="J19" s="26">
        <f>IFERROR(VLOOKUP($B19,'QB Reserve'!$A:$N,J$2,0),"-")</f>
        <v>0</v>
      </c>
      <c r="K19" s="26">
        <f>IFERROR(VLOOKUP($B19,'QB Reserve'!$A:$N,K$2,0),"-")</f>
        <v>0</v>
      </c>
      <c r="L19" s="26">
        <f>IFERROR(VLOOKUP($B19,'QB Reserve'!$A:$N,L$2,0),"-")</f>
        <v>0</v>
      </c>
      <c r="M19" s="26">
        <f>IFERROR(VLOOKUP($B19,'QB Reserve'!$A:$N,M$2,0),"-")</f>
        <v>0</v>
      </c>
      <c r="N19" s="26">
        <f>IFERROR(VLOOKUP($B19,'QB Reserve'!$A:$N,N$2,0),"-")</f>
        <v>0</v>
      </c>
      <c r="O19" s="15"/>
      <c r="P19" s="24">
        <f>IFERROR(VLOOKUP(B19,'QB Reserve'!A:P,16,0),"-")</f>
        <v>0</v>
      </c>
      <c r="Q19" s="15">
        <f>IFERROR(VLOOKUP(B19,'QB Reserve'!A:Q,17,0),"-")</f>
        <v>7</v>
      </c>
      <c r="R19" s="16">
        <f>IFERROR(VLOOKUP(B19,'QB Reserve'!A:T,20,0),"-")</f>
        <v>1</v>
      </c>
      <c r="S19" t="str">
        <f>+VLOOKUP(B19,'QB Reserve'!A:W,23,0)</f>
        <v>User 3</v>
      </c>
    </row>
    <row r="20" spans="1:19" ht="33.75" customHeight="1" x14ac:dyDescent="0.25">
      <c r="A20" s="15">
        <f t="shared" si="1"/>
        <v>16</v>
      </c>
      <c r="B20" s="17">
        <v>41</v>
      </c>
      <c r="C20" s="15" t="str">
        <f>IFERROR(VLOOKUP(B20,'QB Reserve'!A:B,2,0),"-")</f>
        <v>Sports - National Games</v>
      </c>
      <c r="D20" s="6" t="str">
        <f>IFERROR(VLOOKUP(B20,'QB Reserve'!A:C,3,0),"-")</f>
        <v>When were the first Modern National Games on the lines of the Olympics held?</v>
      </c>
      <c r="E20" s="26">
        <f>IFERROR(VLOOKUP($B20,'QB Reserve'!$A:$N,E$2,0),"-")</f>
        <v>1986</v>
      </c>
      <c r="F20" s="26">
        <f>IFERROR(VLOOKUP($B20,'QB Reserve'!$A:$N,F$2,0),"-")</f>
        <v>1985</v>
      </c>
      <c r="G20" s="26">
        <f>IFERROR(VLOOKUP($B20,'QB Reserve'!$A:$N,G$2,0),"-")</f>
        <v>1987</v>
      </c>
      <c r="H20" s="26">
        <f>IFERROR(VLOOKUP($B20,'QB Reserve'!$A:$N,H$2,0),"-")</f>
        <v>1984</v>
      </c>
      <c r="I20" s="26">
        <f>IFERROR(VLOOKUP($B20,'QB Reserve'!$A:$N,I$2,0),"-")</f>
        <v>0</v>
      </c>
      <c r="J20" s="26">
        <f>IFERROR(VLOOKUP($B20,'QB Reserve'!$A:$N,J$2,0),"-")</f>
        <v>0</v>
      </c>
      <c r="K20" s="26">
        <f>IFERROR(VLOOKUP($B20,'QB Reserve'!$A:$N,K$2,0),"-")</f>
        <v>0</v>
      </c>
      <c r="L20" s="26">
        <f>IFERROR(VLOOKUP($B20,'QB Reserve'!$A:$N,L$2,0),"-")</f>
        <v>0</v>
      </c>
      <c r="M20" s="26">
        <f>IFERROR(VLOOKUP($B20,'QB Reserve'!$A:$N,M$2,0),"-")</f>
        <v>0</v>
      </c>
      <c r="N20" s="26">
        <f>IFERROR(VLOOKUP($B20,'QB Reserve'!$A:$N,N$2,0),"-")</f>
        <v>0</v>
      </c>
      <c r="O20" s="15"/>
      <c r="P20" s="24">
        <f>IFERROR(VLOOKUP(B20,'QB Reserve'!A:P,16,0),"-")</f>
        <v>0</v>
      </c>
      <c r="Q20" s="15">
        <f>IFERROR(VLOOKUP(B20,'QB Reserve'!A:Q,17,0),"-")</f>
        <v>5</v>
      </c>
      <c r="R20" s="16">
        <f>IFERROR(VLOOKUP(B20,'QB Reserve'!A:T,20,0),"-")</f>
        <v>2</v>
      </c>
      <c r="S20" t="str">
        <f>+VLOOKUP(B20,'QB Reserve'!A:W,23,0)</f>
        <v>User 2</v>
      </c>
    </row>
    <row r="21" spans="1:19" ht="33.75" customHeight="1" x14ac:dyDescent="0.25">
      <c r="A21" s="15">
        <f t="shared" si="1"/>
        <v>17</v>
      </c>
      <c r="B21" s="17">
        <v>42</v>
      </c>
      <c r="C21" s="15" t="str">
        <f>IFERROR(VLOOKUP(B21,'QB Reserve'!A:B,2,0),"-")</f>
        <v>Sports - National Games</v>
      </c>
      <c r="D21" s="6" t="str">
        <f>IFERROR(VLOOKUP(B21,'QB Reserve'!A:C,3,0),"-")</f>
        <v>Which is India's national game?</v>
      </c>
      <c r="E21" s="26" t="str">
        <f>IFERROR(VLOOKUP($B21,'QB Reserve'!$A:$N,E$2,0),"-")</f>
        <v>Hockey</v>
      </c>
      <c r="F21" s="26" t="str">
        <f>IFERROR(VLOOKUP($B21,'QB Reserve'!$A:$N,F$2,0),"-")</f>
        <v>Cricket</v>
      </c>
      <c r="G21" s="26" t="str">
        <f>IFERROR(VLOOKUP($B21,'QB Reserve'!$A:$N,G$2,0),"-")</f>
        <v>Football</v>
      </c>
      <c r="H21" s="26">
        <f>IFERROR(VLOOKUP($B21,'QB Reserve'!$A:$N,H$2,0),"-")</f>
        <v>0</v>
      </c>
      <c r="I21" s="26">
        <f>IFERROR(VLOOKUP($B21,'QB Reserve'!$A:$N,I$2,0),"-")</f>
        <v>0</v>
      </c>
      <c r="J21" s="26">
        <f>IFERROR(VLOOKUP($B21,'QB Reserve'!$A:$N,J$2,0),"-")</f>
        <v>0</v>
      </c>
      <c r="K21" s="26">
        <f>IFERROR(VLOOKUP($B21,'QB Reserve'!$A:$N,K$2,0),"-")</f>
        <v>0</v>
      </c>
      <c r="L21" s="26">
        <f>IFERROR(VLOOKUP($B21,'QB Reserve'!$A:$N,L$2,0),"-")</f>
        <v>0</v>
      </c>
      <c r="M21" s="26">
        <f>IFERROR(VLOOKUP($B21,'QB Reserve'!$A:$N,M$2,0),"-")</f>
        <v>0</v>
      </c>
      <c r="N21" s="26">
        <f>IFERROR(VLOOKUP($B21,'QB Reserve'!$A:$N,N$2,0),"-")</f>
        <v>0</v>
      </c>
      <c r="O21" s="15"/>
      <c r="P21" s="24">
        <f>IFERROR(VLOOKUP(B21,'QB Reserve'!A:P,16,0),"-")</f>
        <v>0</v>
      </c>
      <c r="Q21" s="15">
        <f>IFERROR(VLOOKUP(B21,'QB Reserve'!A:Q,17,0),"-")</f>
        <v>2</v>
      </c>
      <c r="R21" s="16">
        <f>IFERROR(VLOOKUP(B21,'QB Reserve'!A:T,20,0),"-")</f>
        <v>5</v>
      </c>
      <c r="S21" t="str">
        <f>+VLOOKUP(B21,'QB Reserve'!A:W,23,0)</f>
        <v>User 2</v>
      </c>
    </row>
    <row r="22" spans="1:19" ht="33.75" customHeight="1" x14ac:dyDescent="0.25">
      <c r="A22" s="15">
        <f t="shared" si="1"/>
        <v>18</v>
      </c>
      <c r="B22" s="17">
        <v>43</v>
      </c>
      <c r="C22" s="15" t="str">
        <f>IFERROR(VLOOKUP(B22,'QB Reserve'!A:B,2,0),"-")</f>
        <v>Sports - Cricket</v>
      </c>
      <c r="D22" s="6" t="str">
        <f>IFERROR(VLOOKUP(B22,'QB Reserve'!A:C,3,0),"-")</f>
        <v>Three of Australia’s Test cricket captains were nicknamed Pugsley, Tubby, and Punter.</v>
      </c>
      <c r="E22" s="26" t="b">
        <f>IFERROR(VLOOKUP($B22,'QB Reserve'!$A:$N,E$2,0),"-")</f>
        <v>1</v>
      </c>
      <c r="F22" s="26" t="b">
        <f>IFERROR(VLOOKUP($B22,'QB Reserve'!$A:$N,F$2,0),"-")</f>
        <v>0</v>
      </c>
      <c r="G22" s="26">
        <f>IFERROR(VLOOKUP($B22,'QB Reserve'!$A:$N,G$2,0),"-")</f>
        <v>0</v>
      </c>
      <c r="H22" s="26">
        <f>IFERROR(VLOOKUP($B22,'QB Reserve'!$A:$N,H$2,0),"-")</f>
        <v>0</v>
      </c>
      <c r="I22" s="26">
        <f>IFERROR(VLOOKUP($B22,'QB Reserve'!$A:$N,I$2,0),"-")</f>
        <v>0</v>
      </c>
      <c r="J22" s="26">
        <f>IFERROR(VLOOKUP($B22,'QB Reserve'!$A:$N,J$2,0),"-")</f>
        <v>0</v>
      </c>
      <c r="K22" s="26">
        <f>IFERROR(VLOOKUP($B22,'QB Reserve'!$A:$N,K$2,0),"-")</f>
        <v>0</v>
      </c>
      <c r="L22" s="26">
        <f>IFERROR(VLOOKUP($B22,'QB Reserve'!$A:$N,L$2,0),"-")</f>
        <v>0</v>
      </c>
      <c r="M22" s="26">
        <f>IFERROR(VLOOKUP($B22,'QB Reserve'!$A:$N,M$2,0),"-")</f>
        <v>0</v>
      </c>
      <c r="N22" s="26">
        <f>IFERROR(VLOOKUP($B22,'QB Reserve'!$A:$N,N$2,0),"-")</f>
        <v>0</v>
      </c>
      <c r="O22" s="15"/>
      <c r="P22" s="24">
        <f>IFERROR(VLOOKUP(B22,'QB Reserve'!A:P,16,0),"-")</f>
        <v>0</v>
      </c>
      <c r="Q22" s="15">
        <f>IFERROR(VLOOKUP(B22,'QB Reserve'!A:Q,17,0),"-")</f>
        <v>3</v>
      </c>
      <c r="R22" s="16">
        <f>IFERROR(VLOOKUP(B22,'QB Reserve'!A:T,20,0),"-")</f>
        <v>3</v>
      </c>
      <c r="S22" t="str">
        <f>+VLOOKUP(B22,'QB Reserve'!A:W,23,0)</f>
        <v>User 1</v>
      </c>
    </row>
    <row r="23" spans="1:19" ht="33.75" customHeight="1" x14ac:dyDescent="0.25">
      <c r="A23" s="15">
        <f t="shared" si="1"/>
        <v>19</v>
      </c>
      <c r="B23" s="17">
        <v>45</v>
      </c>
      <c r="C23" s="15" t="str">
        <f>IFERROR(VLOOKUP(B23,'QB Reserve'!A:B,2,0),"-")</f>
        <v>Sports - Cricket</v>
      </c>
      <c r="D23" s="6" t="str">
        <f>IFERROR(VLOOKUP(B23,'QB Reserve'!A:C,3,0),"-")</f>
        <v>In which year were the first laws of cricket believed to have been written?</v>
      </c>
      <c r="E23" s="26">
        <f>IFERROR(VLOOKUP($B23,'QB Reserve'!$A:$N,E$2,0),"-")</f>
        <v>1882</v>
      </c>
      <c r="F23" s="26">
        <f>IFERROR(VLOOKUP($B23,'QB Reserve'!$A:$N,F$2,0),"-")</f>
        <v>1709</v>
      </c>
      <c r="G23" s="26">
        <f>IFERROR(VLOOKUP($B23,'QB Reserve'!$A:$N,G$2,0),"-")</f>
        <v>1774</v>
      </c>
      <c r="H23" s="26">
        <f>IFERROR(VLOOKUP($B23,'QB Reserve'!$A:$N,H$2,0),"-")</f>
        <v>0</v>
      </c>
      <c r="I23" s="26">
        <f>IFERROR(VLOOKUP($B23,'QB Reserve'!$A:$N,I$2,0),"-")</f>
        <v>0</v>
      </c>
      <c r="J23" s="26">
        <f>IFERROR(VLOOKUP($B23,'QB Reserve'!$A:$N,J$2,0),"-")</f>
        <v>0</v>
      </c>
      <c r="K23" s="26">
        <f>IFERROR(VLOOKUP($B23,'QB Reserve'!$A:$N,K$2,0),"-")</f>
        <v>0</v>
      </c>
      <c r="L23" s="26">
        <f>IFERROR(VLOOKUP($B23,'QB Reserve'!$A:$N,L$2,0),"-")</f>
        <v>0</v>
      </c>
      <c r="M23" s="26">
        <f>IFERROR(VLOOKUP($B23,'QB Reserve'!$A:$N,M$2,0),"-")</f>
        <v>0</v>
      </c>
      <c r="N23" s="26">
        <f>IFERROR(VLOOKUP($B23,'QB Reserve'!$A:$N,N$2,0),"-")</f>
        <v>0</v>
      </c>
      <c r="O23" s="15"/>
      <c r="P23" s="24">
        <f>IFERROR(VLOOKUP(B23,'QB Reserve'!A:P,16,0),"-")</f>
        <v>0</v>
      </c>
      <c r="Q23" s="15">
        <f>IFERROR(VLOOKUP(B23,'QB Reserve'!A:Q,17,0),"-")</f>
        <v>5</v>
      </c>
      <c r="R23" s="16">
        <f>IFERROR(VLOOKUP(B23,'QB Reserve'!A:T,20,0),"-")</f>
        <v>7</v>
      </c>
      <c r="S23" t="str">
        <f>+VLOOKUP(B23,'QB Reserve'!A:W,23,0)</f>
        <v>User 2</v>
      </c>
    </row>
    <row r="24" spans="1:19" ht="33.75" customHeight="1" x14ac:dyDescent="0.25">
      <c r="A24" s="15">
        <f t="shared" si="1"/>
        <v>20</v>
      </c>
      <c r="B24" s="17">
        <v>46</v>
      </c>
      <c r="C24" s="15" t="str">
        <f>IFERROR(VLOOKUP(B24,'QB Reserve'!A:B,2,0),"-")</f>
        <v>Sports - Cricket</v>
      </c>
      <c r="D24" s="6" t="str">
        <f>IFERROR(VLOOKUP(B24,'QB Reserve'!A:C,3,0),"-")</f>
        <v>Cricket umpires use a large variety of signals to make sure that the correct scores are kept. What does it mean if an umpire raises both arms straight above his head?</v>
      </c>
      <c r="E24" s="26" t="str">
        <f>IFERROR(VLOOKUP($B24,'QB Reserve'!$A:$N,E$2,0),"-")</f>
        <v>Out</v>
      </c>
      <c r="F24" s="26" t="str">
        <f>IFERROR(VLOOKUP($B24,'QB Reserve'!$A:$N,F$2,0),"-")</f>
        <v>Wide ball</v>
      </c>
      <c r="G24" s="26" t="str">
        <f>IFERROR(VLOOKUP($B24,'QB Reserve'!$A:$N,G$2,0),"-")</f>
        <v>6 runs</v>
      </c>
      <c r="H24" s="26" t="str">
        <f>IFERROR(VLOOKUP($B24,'QB Reserve'!$A:$N,H$2,0),"-")</f>
        <v>4 runs</v>
      </c>
      <c r="I24" s="26">
        <f>IFERROR(VLOOKUP($B24,'QB Reserve'!$A:$N,I$2,0),"-")</f>
        <v>0</v>
      </c>
      <c r="J24" s="26">
        <f>IFERROR(VLOOKUP($B24,'QB Reserve'!$A:$N,J$2,0),"-")</f>
        <v>0</v>
      </c>
      <c r="K24" s="26">
        <f>IFERROR(VLOOKUP($B24,'QB Reserve'!$A:$N,K$2,0),"-")</f>
        <v>0</v>
      </c>
      <c r="L24" s="26">
        <f>IFERROR(VLOOKUP($B24,'QB Reserve'!$A:$N,L$2,0),"-")</f>
        <v>0</v>
      </c>
      <c r="M24" s="26">
        <f>IFERROR(VLOOKUP($B24,'QB Reserve'!$A:$N,M$2,0),"-")</f>
        <v>0</v>
      </c>
      <c r="N24" s="26">
        <f>IFERROR(VLOOKUP($B24,'QB Reserve'!$A:$N,N$2,0),"-")</f>
        <v>0</v>
      </c>
      <c r="O24" s="15"/>
      <c r="P24" s="24">
        <f>IFERROR(VLOOKUP(B24,'QB Reserve'!A:P,16,0),"-")</f>
        <v>0</v>
      </c>
      <c r="Q24" s="15">
        <f>IFERROR(VLOOKUP(B24,'QB Reserve'!A:Q,17,0),"-")</f>
        <v>6</v>
      </c>
      <c r="R24" s="16">
        <f>IFERROR(VLOOKUP(B24,'QB Reserve'!A:T,20,0),"-")</f>
        <v>8</v>
      </c>
      <c r="S24" t="str">
        <f>+VLOOKUP(B24,'QB Reserve'!A:W,23,0)</f>
        <v>User 2</v>
      </c>
    </row>
    <row r="25" spans="1:19" ht="33.75" customHeight="1" x14ac:dyDescent="0.25">
      <c r="A25" s="15">
        <f t="shared" si="1"/>
        <v>21</v>
      </c>
      <c r="B25" s="17">
        <v>47</v>
      </c>
      <c r="C25" s="15" t="str">
        <f>IFERROR(VLOOKUP(B25,'QB Reserve'!A:B,2,0),"-")</f>
        <v>Sports - Cricket</v>
      </c>
      <c r="D25" s="6" t="str">
        <f>IFERROR(VLOOKUP(B25,'QB Reserve'!A:C,3,0),"-")</f>
        <v>Lord’s, the most famous of all English cricket grounds, got its name because of the popularity of the game with the English aristocracy.</v>
      </c>
      <c r="E25" s="26" t="b">
        <f>IFERROR(VLOOKUP($B25,'QB Reserve'!$A:$N,E$2,0),"-")</f>
        <v>1</v>
      </c>
      <c r="F25" s="26" t="b">
        <f>IFERROR(VLOOKUP($B25,'QB Reserve'!$A:$N,F$2,0),"-")</f>
        <v>0</v>
      </c>
      <c r="G25" s="26">
        <f>IFERROR(VLOOKUP($B25,'QB Reserve'!$A:$N,G$2,0),"-")</f>
        <v>0</v>
      </c>
      <c r="H25" s="26">
        <f>IFERROR(VLOOKUP($B25,'QB Reserve'!$A:$N,H$2,0),"-")</f>
        <v>0</v>
      </c>
      <c r="I25" s="26">
        <f>IFERROR(VLOOKUP($B25,'QB Reserve'!$A:$N,I$2,0),"-")</f>
        <v>0</v>
      </c>
      <c r="J25" s="26">
        <f>IFERROR(VLOOKUP($B25,'QB Reserve'!$A:$N,J$2,0),"-")</f>
        <v>0</v>
      </c>
      <c r="K25" s="26">
        <f>IFERROR(VLOOKUP($B25,'QB Reserve'!$A:$N,K$2,0),"-")</f>
        <v>0</v>
      </c>
      <c r="L25" s="26">
        <f>IFERROR(VLOOKUP($B25,'QB Reserve'!$A:$N,L$2,0),"-")</f>
        <v>0</v>
      </c>
      <c r="M25" s="26">
        <f>IFERROR(VLOOKUP($B25,'QB Reserve'!$A:$N,M$2,0),"-")</f>
        <v>0</v>
      </c>
      <c r="N25" s="26">
        <f>IFERROR(VLOOKUP($B25,'QB Reserve'!$A:$N,N$2,0),"-")</f>
        <v>0</v>
      </c>
      <c r="O25" s="15"/>
      <c r="P25" s="24">
        <f>IFERROR(VLOOKUP(B25,'QB Reserve'!A:P,16,0),"-")</f>
        <v>0</v>
      </c>
      <c r="Q25" s="15">
        <f>IFERROR(VLOOKUP(B25,'QB Reserve'!A:Q,17,0),"-")</f>
        <v>9</v>
      </c>
      <c r="R25" s="16">
        <f>IFERROR(VLOOKUP(B25,'QB Reserve'!A:T,20,0),"-")</f>
        <v>9</v>
      </c>
      <c r="S25" t="str">
        <f>+VLOOKUP(B25,'QB Reserve'!A:W,23,0)</f>
        <v>User 2</v>
      </c>
    </row>
    <row r="26" spans="1:19" ht="33.75" customHeight="1" x14ac:dyDescent="0.25">
      <c r="A26" s="15">
        <f t="shared" si="1"/>
        <v>22</v>
      </c>
      <c r="B26" s="17">
        <v>48</v>
      </c>
      <c r="C26" s="15" t="str">
        <f>IFERROR(VLOOKUP(B26,'QB Reserve'!A:B,2,0),"-")</f>
        <v>Sports - Athletics</v>
      </c>
      <c r="D26" s="6" t="str">
        <f>IFERROR(VLOOKUP(B26,'QB Reserve'!A:C,3,0),"-")</f>
        <v>Which American athlete won four gold medals at the 1936 Olympic Games in Berlin?</v>
      </c>
      <c r="E26" s="26" t="str">
        <f>IFERROR(VLOOKUP($B26,'QB Reserve'!$A:$N,E$2,0),"-")</f>
        <v>Jim Brown</v>
      </c>
      <c r="F26" s="26" t="str">
        <f>IFERROR(VLOOKUP($B26,'QB Reserve'!$A:$N,F$2,0),"-")</f>
        <v>Edwin Moses</v>
      </c>
      <c r="G26" s="26" t="str">
        <f>IFERROR(VLOOKUP($B26,'QB Reserve'!$A:$N,G$2,0),"-")</f>
        <v>Joe Louis</v>
      </c>
      <c r="H26" s="26" t="str">
        <f>IFERROR(VLOOKUP($B26,'QB Reserve'!$A:$N,H$2,0),"-")</f>
        <v>Jesse Owens</v>
      </c>
      <c r="I26" s="26">
        <f>IFERROR(VLOOKUP($B26,'QB Reserve'!$A:$N,I$2,0),"-")</f>
        <v>0</v>
      </c>
      <c r="J26" s="26">
        <f>IFERROR(VLOOKUP($B26,'QB Reserve'!$A:$N,J$2,0),"-")</f>
        <v>0</v>
      </c>
      <c r="K26" s="26">
        <f>IFERROR(VLOOKUP($B26,'QB Reserve'!$A:$N,K$2,0),"-")</f>
        <v>0</v>
      </c>
      <c r="L26" s="26">
        <f>IFERROR(VLOOKUP($B26,'QB Reserve'!$A:$N,L$2,0),"-")</f>
        <v>0</v>
      </c>
      <c r="M26" s="26">
        <f>IFERROR(VLOOKUP($B26,'QB Reserve'!$A:$N,M$2,0),"-")</f>
        <v>0</v>
      </c>
      <c r="N26" s="26">
        <f>IFERROR(VLOOKUP($B26,'QB Reserve'!$A:$N,N$2,0),"-")</f>
        <v>0</v>
      </c>
      <c r="O26" s="15"/>
      <c r="P26" s="24">
        <f>IFERROR(VLOOKUP(B26,'QB Reserve'!A:P,16,0),"-")</f>
        <v>0</v>
      </c>
      <c r="Q26" s="15">
        <f>IFERROR(VLOOKUP(B26,'QB Reserve'!A:Q,17,0),"-")</f>
        <v>8</v>
      </c>
      <c r="R26" s="16">
        <f>IFERROR(VLOOKUP(B26,'QB Reserve'!A:T,20,0),"-")</f>
        <v>5</v>
      </c>
      <c r="S26" t="str">
        <f>+VLOOKUP(B26,'QB Reserve'!A:W,23,0)</f>
        <v>User 1</v>
      </c>
    </row>
    <row r="27" spans="1:19" ht="33.75" customHeight="1" x14ac:dyDescent="0.25">
      <c r="A27" s="15">
        <f t="shared" si="1"/>
        <v>23</v>
      </c>
      <c r="B27" s="17">
        <v>49</v>
      </c>
      <c r="C27" s="15" t="str">
        <f>IFERROR(VLOOKUP(B27,'QB Reserve'!A:B,2,0),"-")</f>
        <v>Sports - Athletics</v>
      </c>
      <c r="D27" s="6" t="str">
        <f>IFERROR(VLOOKUP(B27,'QB Reserve'!A:C,3,0),"-")</f>
        <v>Who was the first pole-vaulter to clear 20 feet (6.1 metres)?</v>
      </c>
      <c r="E27" s="26" t="str">
        <f>IFERROR(VLOOKUP($B27,'QB Reserve'!$A:$N,E$2,0),"-")</f>
        <v>Bob Richards</v>
      </c>
      <c r="F27" s="26" t="str">
        <f>IFERROR(VLOOKUP($B27,'QB Reserve'!$A:$N,F$2,0),"-")</f>
        <v>Don Bragg</v>
      </c>
      <c r="G27" s="26" t="str">
        <f>IFERROR(VLOOKUP($B27,'QB Reserve'!$A:$N,G$2,0),"-")</f>
        <v>Sergey Bubka</v>
      </c>
      <c r="H27" s="26">
        <f>IFERROR(VLOOKUP($B27,'QB Reserve'!$A:$N,H$2,0),"-")</f>
        <v>0</v>
      </c>
      <c r="I27" s="26">
        <f>IFERROR(VLOOKUP($B27,'QB Reserve'!$A:$N,I$2,0),"-")</f>
        <v>0</v>
      </c>
      <c r="J27" s="26">
        <f>IFERROR(VLOOKUP($B27,'QB Reserve'!$A:$N,J$2,0),"-")</f>
        <v>0</v>
      </c>
      <c r="K27" s="26">
        <f>IFERROR(VLOOKUP($B27,'QB Reserve'!$A:$N,K$2,0),"-")</f>
        <v>0</v>
      </c>
      <c r="L27" s="26">
        <f>IFERROR(VLOOKUP($B27,'QB Reserve'!$A:$N,L$2,0),"-")</f>
        <v>0</v>
      </c>
      <c r="M27" s="26">
        <f>IFERROR(VLOOKUP($B27,'QB Reserve'!$A:$N,M$2,0),"-")</f>
        <v>0</v>
      </c>
      <c r="N27" s="26">
        <f>IFERROR(VLOOKUP($B27,'QB Reserve'!$A:$N,N$2,0),"-")</f>
        <v>0</v>
      </c>
      <c r="O27" s="15"/>
      <c r="P27" s="24">
        <f>IFERROR(VLOOKUP(B27,'QB Reserve'!A:P,16,0),"-")</f>
        <v>0</v>
      </c>
      <c r="Q27" s="15">
        <f>IFERROR(VLOOKUP(B27,'QB Reserve'!A:Q,17,0),"-")</f>
        <v>7</v>
      </c>
      <c r="R27" s="16">
        <f>IFERROR(VLOOKUP(B27,'QB Reserve'!A:T,20,0),"-")</f>
        <v>4</v>
      </c>
      <c r="S27" t="str">
        <f>+VLOOKUP(B27,'QB Reserve'!A:W,23,0)</f>
        <v>User 2</v>
      </c>
    </row>
    <row r="28" spans="1:19" ht="33.75" customHeight="1" x14ac:dyDescent="0.25">
      <c r="A28" s="15">
        <f t="shared" si="1"/>
        <v>24</v>
      </c>
      <c r="B28" s="17">
        <v>50</v>
      </c>
      <c r="C28" s="15" t="str">
        <f>IFERROR(VLOOKUP(B28,'QB Reserve'!A:B,2,0),"-")</f>
        <v>Sports - Athletics</v>
      </c>
      <c r="D28" s="6" t="str">
        <f>IFERROR(VLOOKUP(B28,'QB Reserve'!A:C,3,0),"-")</f>
        <v>Usain Bolt is the only man ever to win the 100 meters, 200 meters, and 4 x 100-meter relay in a single Olympics.</v>
      </c>
      <c r="E28" s="26" t="b">
        <f>IFERROR(VLOOKUP($B28,'QB Reserve'!$A:$N,E$2,0),"-")</f>
        <v>1</v>
      </c>
      <c r="F28" s="26" t="b">
        <f>IFERROR(VLOOKUP($B28,'QB Reserve'!$A:$N,F$2,0),"-")</f>
        <v>0</v>
      </c>
      <c r="G28" s="26">
        <f>IFERROR(VLOOKUP($B28,'QB Reserve'!$A:$N,G$2,0),"-")</f>
        <v>0</v>
      </c>
      <c r="H28" s="26">
        <f>IFERROR(VLOOKUP($B28,'QB Reserve'!$A:$N,H$2,0),"-")</f>
        <v>0</v>
      </c>
      <c r="I28" s="26">
        <f>IFERROR(VLOOKUP($B28,'QB Reserve'!$A:$N,I$2,0),"-")</f>
        <v>0</v>
      </c>
      <c r="J28" s="26">
        <f>IFERROR(VLOOKUP($B28,'QB Reserve'!$A:$N,J$2,0),"-")</f>
        <v>0</v>
      </c>
      <c r="K28" s="26">
        <f>IFERROR(VLOOKUP($B28,'QB Reserve'!$A:$N,K$2,0),"-")</f>
        <v>0</v>
      </c>
      <c r="L28" s="26">
        <f>IFERROR(VLOOKUP($B28,'QB Reserve'!$A:$N,L$2,0),"-")</f>
        <v>0</v>
      </c>
      <c r="M28" s="26">
        <f>IFERROR(VLOOKUP($B28,'QB Reserve'!$A:$N,M$2,0),"-")</f>
        <v>0</v>
      </c>
      <c r="N28" s="26">
        <f>IFERROR(VLOOKUP($B28,'QB Reserve'!$A:$N,N$2,0),"-")</f>
        <v>0</v>
      </c>
      <c r="O28" s="15"/>
      <c r="P28" s="24">
        <f>IFERROR(VLOOKUP(B28,'QB Reserve'!A:P,16,0),"-")</f>
        <v>0</v>
      </c>
      <c r="Q28" s="15">
        <f>IFERROR(VLOOKUP(B28,'QB Reserve'!A:Q,17,0),"-")</f>
        <v>1</v>
      </c>
      <c r="R28" s="16">
        <f>IFERROR(VLOOKUP(B28,'QB Reserve'!A:T,20,0),"-")</f>
        <v>2</v>
      </c>
      <c r="S28" t="str">
        <f>+VLOOKUP(B28,'QB Reserve'!A:W,23,0)</f>
        <v>User 2</v>
      </c>
    </row>
    <row r="29" spans="1:19" ht="33.75" customHeight="1" x14ac:dyDescent="0.25">
      <c r="A29" s="15">
        <f t="shared" si="1"/>
        <v>25</v>
      </c>
      <c r="B29" s="17">
        <v>14</v>
      </c>
      <c r="C29" s="15" t="str">
        <f>IFERROR(VLOOKUP(B29,'QB Reserve'!A:B,2,0),"-")</f>
        <v>Science - Plants</v>
      </c>
      <c r="D29" s="6" t="str">
        <f>IFERROR(VLOOKUP(B29,'QB Reserve'!A:C,3,0),"-")</f>
        <v>Which of the following is a carnivorous plant?</v>
      </c>
      <c r="E29" s="26" t="str">
        <f>IFERROR(VLOOKUP($B29,'QB Reserve'!$A:$N,E$2,0),"-")</f>
        <v>Venus Flytrap</v>
      </c>
      <c r="F29" s="26" t="str">
        <f>IFERROR(VLOOKUP($B29,'QB Reserve'!$A:$N,F$2,0),"-")</f>
        <v>Aloe Vera</v>
      </c>
      <c r="G29" s="26" t="str">
        <f>IFERROR(VLOOKUP($B29,'QB Reserve'!$A:$N,G$2,0),"-")</f>
        <v>Golden Palm</v>
      </c>
      <c r="H29" s="26">
        <f>IFERROR(VLOOKUP($B29,'QB Reserve'!$A:$N,H$2,0),"-")</f>
        <v>0</v>
      </c>
      <c r="I29" s="26">
        <f>IFERROR(VLOOKUP($B29,'QB Reserve'!$A:$N,I$2,0),"-")</f>
        <v>0</v>
      </c>
      <c r="J29" s="26">
        <f>IFERROR(VLOOKUP($B29,'QB Reserve'!$A:$N,J$2,0),"-")</f>
        <v>0</v>
      </c>
      <c r="K29" s="26">
        <f>IFERROR(VLOOKUP($B29,'QB Reserve'!$A:$N,K$2,0),"-")</f>
        <v>0</v>
      </c>
      <c r="L29" s="26">
        <f>IFERROR(VLOOKUP($B29,'QB Reserve'!$A:$N,L$2,0),"-")</f>
        <v>0</v>
      </c>
      <c r="M29" s="26">
        <f>IFERROR(VLOOKUP($B29,'QB Reserve'!$A:$N,M$2,0),"-")</f>
        <v>0</v>
      </c>
      <c r="N29" s="26">
        <f>IFERROR(VLOOKUP($B29,'QB Reserve'!$A:$N,N$2,0),"-")</f>
        <v>0</v>
      </c>
      <c r="O29" s="15"/>
      <c r="P29" s="24">
        <f>IFERROR(VLOOKUP(B29,'QB Reserve'!A:P,16,0),"-")</f>
        <v>0</v>
      </c>
      <c r="Q29" s="15">
        <f>IFERROR(VLOOKUP(B29,'QB Reserve'!A:Q,17,0),"-")</f>
        <v>2</v>
      </c>
      <c r="R29" s="16">
        <f>IFERROR(VLOOKUP(B29,'QB Reserve'!A:T,20,0),"-")</f>
        <v>2</v>
      </c>
      <c r="S29" t="str">
        <f>+VLOOKUP(B29,'QB Reserve'!A:W,23,0)</f>
        <v>User 1</v>
      </c>
    </row>
  </sheetData>
  <mergeCells count="1">
    <mergeCell ref="E3:N3"/>
  </mergeCells>
  <conditionalFormatting sqref="B1 B23:B1048576 B4">
    <cfRule type="duplicateValues" dxfId="19" priority="7"/>
  </conditionalFormatting>
  <conditionalFormatting sqref="B1 B4:B1048576">
    <cfRule type="duplicateValues" dxfId="18" priority="4"/>
  </conditionalFormatting>
  <conditionalFormatting sqref="B5:B22">
    <cfRule type="duplicateValues" dxfId="17" priority="5"/>
  </conditionalFormatting>
  <conditionalFormatting sqref="E5:N29">
    <cfRule type="cellIs" dxfId="16" priority="6" operator="equal">
      <formula>0</formula>
    </cfRule>
  </conditionalFormatting>
  <conditionalFormatting sqref="B3">
    <cfRule type="duplicateValues" dxfId="12" priority="3"/>
  </conditionalFormatting>
  <conditionalFormatting sqref="B2">
    <cfRule type="duplicateValues" dxfId="1" priority="2"/>
  </conditionalFormatting>
  <conditionalFormatting sqref="B2">
    <cfRule type="duplicateValues" dxfId="0" priority="1"/>
  </conditionalFormatting>
  <dataValidations disablePrompts="1" count="1">
    <dataValidation type="list" allowBlank="1" showInputMessage="1" showErrorMessage="1" sqref="C5:C29" xr:uid="{42AA77EA-FD92-469D-9ED3-E69EEA8C59A5}">
      <formula1>TopicList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QB Masters</vt:lpstr>
      <vt:lpstr>QB Library (User 1)</vt:lpstr>
      <vt:lpstr>QB Library (User 2)</vt:lpstr>
      <vt:lpstr>QB Library (User 3)</vt:lpstr>
      <vt:lpstr>QB Reserve</vt:lpstr>
      <vt:lpstr>Subject Assessment (1)</vt:lpstr>
      <vt:lpstr>Subject Assessment (2)</vt:lpstr>
      <vt:lpstr>Subject Assessment (3)</vt:lpstr>
      <vt:lpstr>Subject Assessment (4)</vt:lpstr>
      <vt:lpstr>Subject Assessment (5)</vt:lpstr>
      <vt:lpstr>TopicList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Jasmeet Singh</dc:creator>
  <cp:lastModifiedBy>Jasmeet Singh</cp:lastModifiedBy>
  <dcterms:created xsi:type="dcterms:W3CDTF">2024-01-20T06:32:07Z</dcterms:created>
  <dcterms:modified xsi:type="dcterms:W3CDTF">2024-01-22T12:08:18Z</dcterms:modified>
</cp:coreProperties>
</file>